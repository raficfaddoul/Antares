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c\Desktop\AliantWebS (6)\AliantWebS\"/>
    </mc:Choice>
  </mc:AlternateContent>
  <xr:revisionPtr revIDLastSave="0" documentId="13_ncr:1_{8C1D5C28-4687-4309-BF84-F4300A906476}" xr6:coauthVersionLast="47" xr6:coauthVersionMax="47" xr10:uidLastSave="{00000000-0000-0000-0000-000000000000}"/>
  <bookViews>
    <workbookView xWindow="-108" yWindow="-108" windowWidth="23256" windowHeight="12456" activeTab="1" xr2:uid="{AC46A9F2-0C73-40DD-BD49-1E22288AA7FA}"/>
  </bookViews>
  <sheets>
    <sheet name="Feuil1" sheetId="1" r:id="rId1"/>
    <sheet name="Noeuds" sheetId="2" r:id="rId2"/>
    <sheet name="Pout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9" i="1" l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R279" i="1"/>
  <c r="R269" i="1"/>
  <c r="S470" i="1"/>
  <c r="R471" i="1" s="1"/>
  <c r="S471" i="1" s="1"/>
  <c r="R472" i="1" s="1"/>
  <c r="S472" i="1" s="1"/>
  <c r="R473" i="1" s="1"/>
  <c r="S473" i="1" s="1"/>
  <c r="R474" i="1" s="1"/>
  <c r="S474" i="1" s="1"/>
  <c r="R475" i="1" s="1"/>
  <c r="S475" i="1" s="1"/>
  <c r="R476" i="1" s="1"/>
  <c r="S476" i="1" s="1"/>
  <c r="R477" i="1" s="1"/>
  <c r="S477" i="1" s="1"/>
  <c r="R478" i="1" s="1"/>
  <c r="S478" i="1" s="1"/>
  <c r="R479" i="1" s="1"/>
  <c r="R470" i="1"/>
  <c r="R480" i="1" s="1"/>
  <c r="R490" i="1" s="1"/>
  <c r="S479" i="1"/>
  <c r="S489" i="1" s="1"/>
  <c r="S499" i="1" s="1"/>
  <c r="S439" i="1"/>
  <c r="S449" i="1" s="1"/>
  <c r="S459" i="1" s="1"/>
  <c r="S430" i="1"/>
  <c r="R431" i="1" s="1"/>
  <c r="S431" i="1" s="1"/>
  <c r="R432" i="1" s="1"/>
  <c r="S432" i="1" s="1"/>
  <c r="R433" i="1" s="1"/>
  <c r="S433" i="1" s="1"/>
  <c r="R434" i="1" s="1"/>
  <c r="S434" i="1" s="1"/>
  <c r="R435" i="1" s="1"/>
  <c r="S435" i="1" s="1"/>
  <c r="R436" i="1" s="1"/>
  <c r="S436" i="1" s="1"/>
  <c r="R437" i="1" s="1"/>
  <c r="S437" i="1" s="1"/>
  <c r="R438" i="1" s="1"/>
  <c r="S438" i="1" s="1"/>
  <c r="R439" i="1" s="1"/>
  <c r="R430" i="1"/>
  <c r="R440" i="1" s="1"/>
  <c r="R450" i="1" s="1"/>
  <c r="R461" i="1"/>
  <c r="S461" i="1" s="1"/>
  <c r="R462" i="1" s="1"/>
  <c r="S462" i="1" s="1"/>
  <c r="R463" i="1" s="1"/>
  <c r="S463" i="1" s="1"/>
  <c r="R464" i="1" s="1"/>
  <c r="S464" i="1" s="1"/>
  <c r="R465" i="1" s="1"/>
  <c r="S465" i="1" s="1"/>
  <c r="R466" i="1" s="1"/>
  <c r="S466" i="1" s="1"/>
  <c r="R467" i="1" s="1"/>
  <c r="S467" i="1" s="1"/>
  <c r="R468" i="1" s="1"/>
  <c r="S468" i="1" s="1"/>
  <c r="R469" i="1" s="1"/>
  <c r="R396" i="1"/>
  <c r="S396" i="1" s="1"/>
  <c r="R397" i="1" s="1"/>
  <c r="S397" i="1" s="1"/>
  <c r="R398" i="1" s="1"/>
  <c r="S398" i="1" s="1"/>
  <c r="R399" i="1" s="1"/>
  <c r="S399" i="1" s="1"/>
  <c r="R400" i="1" s="1"/>
  <c r="S400" i="1" s="1"/>
  <c r="R401" i="1" s="1"/>
  <c r="S401" i="1" s="1"/>
  <c r="R402" i="1" s="1"/>
  <c r="S402" i="1" s="1"/>
  <c r="R403" i="1" s="1"/>
  <c r="S403" i="1" s="1"/>
  <c r="S388" i="1"/>
  <c r="R389" i="1" s="1"/>
  <c r="S389" i="1" s="1"/>
  <c r="R390" i="1" s="1"/>
  <c r="S390" i="1" s="1"/>
  <c r="R391" i="1" s="1"/>
  <c r="S391" i="1" s="1"/>
  <c r="R392" i="1" s="1"/>
  <c r="S392" i="1" s="1"/>
  <c r="R393" i="1" s="1"/>
  <c r="S393" i="1" s="1"/>
  <c r="R394" i="1" s="1"/>
  <c r="S394" i="1" s="1"/>
  <c r="R395" i="1" s="1"/>
  <c r="S395" i="1" s="1"/>
  <c r="R340" i="1"/>
  <c r="R348" i="1" s="1"/>
  <c r="R308" i="1"/>
  <c r="S308" i="1" s="1"/>
  <c r="R309" i="1" s="1"/>
  <c r="S309" i="1" s="1"/>
  <c r="R310" i="1" s="1"/>
  <c r="S310" i="1" s="1"/>
  <c r="R311" i="1" s="1"/>
  <c r="S311" i="1" s="1"/>
  <c r="R312" i="1" s="1"/>
  <c r="S312" i="1" s="1"/>
  <c r="R313" i="1" s="1"/>
  <c r="S313" i="1" s="1"/>
  <c r="R314" i="1" s="1"/>
  <c r="S314" i="1" s="1"/>
  <c r="R315" i="1" s="1"/>
  <c r="S315" i="1" s="1"/>
  <c r="S332" i="1"/>
  <c r="R333" i="1" s="1"/>
  <c r="S333" i="1" s="1"/>
  <c r="R334" i="1" s="1"/>
  <c r="S334" i="1" s="1"/>
  <c r="R335" i="1" s="1"/>
  <c r="S335" i="1" s="1"/>
  <c r="R336" i="1" s="1"/>
  <c r="S336" i="1" s="1"/>
  <c r="R337" i="1" s="1"/>
  <c r="S337" i="1" s="1"/>
  <c r="R338" i="1" s="1"/>
  <c r="S338" i="1" s="1"/>
  <c r="R339" i="1" s="1"/>
  <c r="S339" i="1" s="1"/>
  <c r="S300" i="1"/>
  <c r="R301" i="1" s="1"/>
  <c r="S301" i="1" s="1"/>
  <c r="R302" i="1" s="1"/>
  <c r="S302" i="1" s="1"/>
  <c r="R303" i="1" s="1"/>
  <c r="S303" i="1" s="1"/>
  <c r="R304" i="1" s="1"/>
  <c r="S304" i="1" s="1"/>
  <c r="R305" i="1" s="1"/>
  <c r="S305" i="1" s="1"/>
  <c r="R306" i="1" s="1"/>
  <c r="S306" i="1" s="1"/>
  <c r="R307" i="1" s="1"/>
  <c r="S307" i="1" s="1"/>
  <c r="S295" i="1"/>
  <c r="R296" i="1" s="1"/>
  <c r="S296" i="1" s="1"/>
  <c r="R297" i="1" s="1"/>
  <c r="S297" i="1" s="1"/>
  <c r="R298" i="1" s="1"/>
  <c r="S298" i="1" s="1"/>
  <c r="R299" i="1" s="1"/>
  <c r="S290" i="1"/>
  <c r="R291" i="1" s="1"/>
  <c r="S291" i="1" s="1"/>
  <c r="R292" i="1" s="1"/>
  <c r="S292" i="1" s="1"/>
  <c r="R293" i="1" s="1"/>
  <c r="S293" i="1" s="1"/>
  <c r="R294" i="1" s="1"/>
  <c r="S285" i="1"/>
  <c r="R286" i="1" s="1"/>
  <c r="S286" i="1" s="1"/>
  <c r="R287" i="1" s="1"/>
  <c r="S287" i="1" s="1"/>
  <c r="R288" i="1" s="1"/>
  <c r="S288" i="1" s="1"/>
  <c r="R289" i="1" s="1"/>
  <c r="S280" i="1"/>
  <c r="R281" i="1" s="1"/>
  <c r="S281" i="1" s="1"/>
  <c r="R282" i="1" s="1"/>
  <c r="S282" i="1" s="1"/>
  <c r="R283" i="1" s="1"/>
  <c r="S283" i="1" s="1"/>
  <c r="R284" i="1" s="1"/>
  <c r="S275" i="1"/>
  <c r="R276" i="1" s="1"/>
  <c r="S276" i="1" s="1"/>
  <c r="R277" i="1" s="1"/>
  <c r="S277" i="1" s="1"/>
  <c r="R278" i="1" s="1"/>
  <c r="S278" i="1" s="1"/>
  <c r="S270" i="1"/>
  <c r="R271" i="1" s="1"/>
  <c r="S271" i="1" s="1"/>
  <c r="R272" i="1" s="1"/>
  <c r="S272" i="1" s="1"/>
  <c r="R273" i="1" s="1"/>
  <c r="S273" i="1" s="1"/>
  <c r="R274" i="1" s="1"/>
  <c r="S265" i="1"/>
  <c r="R266" i="1" s="1"/>
  <c r="S266" i="1" s="1"/>
  <c r="R267" i="1" s="1"/>
  <c r="S267" i="1" s="1"/>
  <c r="R268" i="1" s="1"/>
  <c r="S268" i="1" s="1"/>
  <c r="S260" i="1"/>
  <c r="R261" i="1" s="1"/>
  <c r="S261" i="1" s="1"/>
  <c r="R262" i="1" s="1"/>
  <c r="S262" i="1" s="1"/>
  <c r="R263" i="1" s="1"/>
  <c r="S263" i="1" s="1"/>
  <c r="R264" i="1" s="1"/>
  <c r="S255" i="1"/>
  <c r="R256" i="1" s="1"/>
  <c r="S256" i="1" s="1"/>
  <c r="R257" i="1" s="1"/>
  <c r="S257" i="1" s="1"/>
  <c r="R258" i="1" s="1"/>
  <c r="S258" i="1" s="1"/>
  <c r="R259" i="1" s="1"/>
  <c r="S250" i="1"/>
  <c r="R251" i="1" s="1"/>
  <c r="S245" i="1"/>
  <c r="R246" i="1" s="1"/>
  <c r="S246" i="1" s="1"/>
  <c r="R247" i="1" s="1"/>
  <c r="S247" i="1" s="1"/>
  <c r="R248" i="1" s="1"/>
  <c r="S248" i="1" s="1"/>
  <c r="R249" i="1" s="1"/>
  <c r="S240" i="1"/>
  <c r="R241" i="1" s="1"/>
  <c r="S241" i="1" s="1"/>
  <c r="R242" i="1" s="1"/>
  <c r="S242" i="1" s="1"/>
  <c r="R243" i="1" s="1"/>
  <c r="S243" i="1" s="1"/>
  <c r="R244" i="1" s="1"/>
  <c r="S235" i="1"/>
  <c r="R236" i="1" s="1"/>
  <c r="S236" i="1" s="1"/>
  <c r="R237" i="1" s="1"/>
  <c r="S237" i="1" s="1"/>
  <c r="R238" i="1" s="1"/>
  <c r="S238" i="1" s="1"/>
  <c r="R239" i="1" s="1"/>
  <c r="S230" i="1"/>
  <c r="R231" i="1" s="1"/>
  <c r="S231" i="1" s="1"/>
  <c r="R232" i="1" s="1"/>
  <c r="S232" i="1" s="1"/>
  <c r="R233" i="1" s="1"/>
  <c r="S233" i="1" s="1"/>
  <c r="R234" i="1" s="1"/>
  <c r="S212" i="1"/>
  <c r="R213" i="1" s="1"/>
  <c r="S213" i="1" s="1"/>
  <c r="R214" i="1" s="1"/>
  <c r="S214" i="1" s="1"/>
  <c r="R215" i="1" s="1"/>
  <c r="S215" i="1" s="1"/>
  <c r="R216" i="1" s="1"/>
  <c r="S216" i="1" s="1"/>
  <c r="R217" i="1" s="1"/>
  <c r="S217" i="1" s="1"/>
  <c r="R218" i="1" s="1"/>
  <c r="S218" i="1" s="1"/>
  <c r="R219" i="1" s="1"/>
  <c r="S219" i="1" s="1"/>
  <c r="R220" i="1" s="1"/>
  <c r="S220" i="1" s="1"/>
  <c r="R221" i="1" s="1"/>
  <c r="S221" i="1" s="1"/>
  <c r="R222" i="1" s="1"/>
  <c r="S222" i="1" s="1"/>
  <c r="R223" i="1" s="1"/>
  <c r="S223" i="1" s="1"/>
  <c r="R224" i="1" s="1"/>
  <c r="S224" i="1" s="1"/>
  <c r="R225" i="1" s="1"/>
  <c r="S225" i="1" s="1"/>
  <c r="R226" i="1" s="1"/>
  <c r="S226" i="1" s="1"/>
  <c r="R227" i="1" s="1"/>
  <c r="S227" i="1" s="1"/>
  <c r="R228" i="1" s="1"/>
  <c r="S228" i="1" s="1"/>
  <c r="R229" i="1" s="1"/>
  <c r="S229" i="1" s="1"/>
  <c r="S194" i="1"/>
  <c r="R195" i="1" s="1"/>
  <c r="S195" i="1" s="1"/>
  <c r="R196" i="1" s="1"/>
  <c r="S196" i="1" s="1"/>
  <c r="R197" i="1" s="1"/>
  <c r="S197" i="1" s="1"/>
  <c r="R198" i="1" s="1"/>
  <c r="S198" i="1" s="1"/>
  <c r="R199" i="1" s="1"/>
  <c r="S199" i="1" s="1"/>
  <c r="R200" i="1" s="1"/>
  <c r="S200" i="1" s="1"/>
  <c r="R201" i="1" s="1"/>
  <c r="S201" i="1" s="1"/>
  <c r="R202" i="1" s="1"/>
  <c r="S202" i="1" s="1"/>
  <c r="R203" i="1" s="1"/>
  <c r="S203" i="1" s="1"/>
  <c r="R204" i="1" s="1"/>
  <c r="S204" i="1" s="1"/>
  <c r="R205" i="1" s="1"/>
  <c r="S205" i="1" s="1"/>
  <c r="R206" i="1" s="1"/>
  <c r="S206" i="1" s="1"/>
  <c r="R207" i="1" s="1"/>
  <c r="S207" i="1" s="1"/>
  <c r="R208" i="1" s="1"/>
  <c r="S208" i="1" s="1"/>
  <c r="R209" i="1" s="1"/>
  <c r="S209" i="1" s="1"/>
  <c r="R210" i="1" s="1"/>
  <c r="S210" i="1" s="1"/>
  <c r="R211" i="1" s="1"/>
  <c r="S211" i="1" s="1"/>
  <c r="S176" i="1"/>
  <c r="R177" i="1" s="1"/>
  <c r="S177" i="1" s="1"/>
  <c r="R178" i="1" s="1"/>
  <c r="S178" i="1" s="1"/>
  <c r="R179" i="1" s="1"/>
  <c r="S179" i="1" s="1"/>
  <c r="R180" i="1" s="1"/>
  <c r="S180" i="1" s="1"/>
  <c r="R181" i="1" s="1"/>
  <c r="S181" i="1" s="1"/>
  <c r="R182" i="1" s="1"/>
  <c r="S182" i="1" s="1"/>
  <c r="R183" i="1" s="1"/>
  <c r="S183" i="1" s="1"/>
  <c r="R184" i="1" s="1"/>
  <c r="S184" i="1" s="1"/>
  <c r="R185" i="1" s="1"/>
  <c r="S185" i="1" s="1"/>
  <c r="R186" i="1" s="1"/>
  <c r="S186" i="1" s="1"/>
  <c r="R187" i="1" s="1"/>
  <c r="S187" i="1" s="1"/>
  <c r="R188" i="1" s="1"/>
  <c r="S188" i="1" s="1"/>
  <c r="R189" i="1" s="1"/>
  <c r="S189" i="1" s="1"/>
  <c r="R190" i="1" s="1"/>
  <c r="S190" i="1" s="1"/>
  <c r="R191" i="1" s="1"/>
  <c r="S191" i="1" s="1"/>
  <c r="R192" i="1" s="1"/>
  <c r="S192" i="1" s="1"/>
  <c r="R193" i="1" s="1"/>
  <c r="S193" i="1" s="1"/>
  <c r="S158" i="1"/>
  <c r="R159" i="1" s="1"/>
  <c r="S159" i="1" s="1"/>
  <c r="R160" i="1" s="1"/>
  <c r="S160" i="1" s="1"/>
  <c r="R161" i="1" s="1"/>
  <c r="S161" i="1" s="1"/>
  <c r="R162" i="1" s="1"/>
  <c r="S162" i="1" s="1"/>
  <c r="R163" i="1" s="1"/>
  <c r="S163" i="1" s="1"/>
  <c r="R164" i="1" s="1"/>
  <c r="S164" i="1" s="1"/>
  <c r="R165" i="1" s="1"/>
  <c r="S165" i="1" s="1"/>
  <c r="R166" i="1" s="1"/>
  <c r="S166" i="1" s="1"/>
  <c r="R167" i="1" s="1"/>
  <c r="S167" i="1" s="1"/>
  <c r="R168" i="1" s="1"/>
  <c r="S168" i="1" s="1"/>
  <c r="R169" i="1" s="1"/>
  <c r="S169" i="1" s="1"/>
  <c r="R170" i="1" s="1"/>
  <c r="S170" i="1" s="1"/>
  <c r="R171" i="1" s="1"/>
  <c r="S171" i="1" s="1"/>
  <c r="R172" i="1" s="1"/>
  <c r="S172" i="1" s="1"/>
  <c r="R173" i="1" s="1"/>
  <c r="S173" i="1" s="1"/>
  <c r="R174" i="1" s="1"/>
  <c r="S174" i="1" s="1"/>
  <c r="R175" i="1" s="1"/>
  <c r="S175" i="1" s="1"/>
  <c r="S140" i="1"/>
  <c r="R141" i="1" s="1"/>
  <c r="S141" i="1" s="1"/>
  <c r="R142" i="1" s="1"/>
  <c r="S142" i="1" s="1"/>
  <c r="R143" i="1" s="1"/>
  <c r="S143" i="1" s="1"/>
  <c r="R144" i="1" s="1"/>
  <c r="S144" i="1" s="1"/>
  <c r="R145" i="1" s="1"/>
  <c r="S145" i="1" s="1"/>
  <c r="R146" i="1" s="1"/>
  <c r="S146" i="1" s="1"/>
  <c r="R147" i="1" s="1"/>
  <c r="S147" i="1" s="1"/>
  <c r="R148" i="1" s="1"/>
  <c r="S148" i="1" s="1"/>
  <c r="R149" i="1" s="1"/>
  <c r="S149" i="1" s="1"/>
  <c r="R150" i="1" s="1"/>
  <c r="S150" i="1" s="1"/>
  <c r="R151" i="1" s="1"/>
  <c r="S151" i="1" s="1"/>
  <c r="R152" i="1" s="1"/>
  <c r="S152" i="1" s="1"/>
  <c r="R153" i="1" s="1"/>
  <c r="S153" i="1" s="1"/>
  <c r="R154" i="1" s="1"/>
  <c r="S154" i="1" s="1"/>
  <c r="R155" i="1" s="1"/>
  <c r="S155" i="1" s="1"/>
  <c r="R156" i="1" s="1"/>
  <c r="S156" i="1" s="1"/>
  <c r="R157" i="1" s="1"/>
  <c r="S157" i="1" s="1"/>
  <c r="S122" i="1"/>
  <c r="R123" i="1" s="1"/>
  <c r="S123" i="1" s="1"/>
  <c r="R124" i="1" s="1"/>
  <c r="S124" i="1" s="1"/>
  <c r="R125" i="1" s="1"/>
  <c r="S125" i="1" s="1"/>
  <c r="R126" i="1" s="1"/>
  <c r="S126" i="1" s="1"/>
  <c r="R127" i="1" s="1"/>
  <c r="S127" i="1" s="1"/>
  <c r="R128" i="1" s="1"/>
  <c r="S128" i="1" s="1"/>
  <c r="R129" i="1" s="1"/>
  <c r="S129" i="1" s="1"/>
  <c r="R130" i="1" s="1"/>
  <c r="S130" i="1" s="1"/>
  <c r="R131" i="1" s="1"/>
  <c r="S131" i="1" s="1"/>
  <c r="R132" i="1" s="1"/>
  <c r="S132" i="1" s="1"/>
  <c r="R133" i="1" s="1"/>
  <c r="S133" i="1" s="1"/>
  <c r="R134" i="1" s="1"/>
  <c r="S134" i="1" s="1"/>
  <c r="R135" i="1" s="1"/>
  <c r="S135" i="1" s="1"/>
  <c r="R136" i="1" s="1"/>
  <c r="S136" i="1" s="1"/>
  <c r="R137" i="1" s="1"/>
  <c r="S137" i="1" s="1"/>
  <c r="R138" i="1" s="1"/>
  <c r="S138" i="1" s="1"/>
  <c r="R139" i="1" s="1"/>
  <c r="S139" i="1" s="1"/>
  <c r="S68" i="1"/>
  <c r="R69" i="1" s="1"/>
  <c r="S69" i="1" s="1"/>
  <c r="R70" i="1" s="1"/>
  <c r="S70" i="1" s="1"/>
  <c r="R71" i="1" s="1"/>
  <c r="S71" i="1" s="1"/>
  <c r="R72" i="1" s="1"/>
  <c r="S72" i="1" s="1"/>
  <c r="R73" i="1" s="1"/>
  <c r="S73" i="1" s="1"/>
  <c r="R74" i="1" s="1"/>
  <c r="S74" i="1" s="1"/>
  <c r="R75" i="1" s="1"/>
  <c r="S75" i="1" s="1"/>
  <c r="R76" i="1" s="1"/>
  <c r="S76" i="1" s="1"/>
  <c r="R77" i="1" s="1"/>
  <c r="S77" i="1" s="1"/>
  <c r="R78" i="1" s="1"/>
  <c r="S78" i="1" s="1"/>
  <c r="R79" i="1" s="1"/>
  <c r="S79" i="1" s="1"/>
  <c r="R80" i="1" s="1"/>
  <c r="S80" i="1" s="1"/>
  <c r="R81" i="1" s="1"/>
  <c r="S81" i="1" s="1"/>
  <c r="R82" i="1" s="1"/>
  <c r="S82" i="1" s="1"/>
  <c r="R83" i="1" s="1"/>
  <c r="S83" i="1" s="1"/>
  <c r="R84" i="1" s="1"/>
  <c r="S84" i="1" s="1"/>
  <c r="R85" i="1" s="1"/>
  <c r="S85" i="1" s="1"/>
  <c r="S86" i="1" s="1"/>
  <c r="R87" i="1" s="1"/>
  <c r="S87" i="1" s="1"/>
  <c r="R88" i="1" s="1"/>
  <c r="S88" i="1" s="1"/>
  <c r="R89" i="1" s="1"/>
  <c r="S89" i="1" s="1"/>
  <c r="R90" i="1" s="1"/>
  <c r="S90" i="1" s="1"/>
  <c r="R91" i="1" s="1"/>
  <c r="S91" i="1" s="1"/>
  <c r="R92" i="1" s="1"/>
  <c r="S92" i="1" s="1"/>
  <c r="R93" i="1" s="1"/>
  <c r="S93" i="1" s="1"/>
  <c r="R94" i="1" s="1"/>
  <c r="S94" i="1" s="1"/>
  <c r="R95" i="1" s="1"/>
  <c r="S95" i="1" s="1"/>
  <c r="R96" i="1" s="1"/>
  <c r="S96" i="1" s="1"/>
  <c r="R97" i="1" s="1"/>
  <c r="S97" i="1" s="1"/>
  <c r="R98" i="1" s="1"/>
  <c r="S98" i="1" s="1"/>
  <c r="R99" i="1" s="1"/>
  <c r="S99" i="1" s="1"/>
  <c r="R100" i="1" s="1"/>
  <c r="S100" i="1" s="1"/>
  <c r="R101" i="1" s="1"/>
  <c r="S101" i="1" s="1"/>
  <c r="R102" i="1" s="1"/>
  <c r="S102" i="1" s="1"/>
  <c r="R103" i="1" s="1"/>
  <c r="S103" i="1" s="1"/>
  <c r="S104" i="1" s="1"/>
  <c r="R105" i="1" s="1"/>
  <c r="S105" i="1" s="1"/>
  <c r="R106" i="1" s="1"/>
  <c r="S106" i="1" s="1"/>
  <c r="R107" i="1" s="1"/>
  <c r="S107" i="1" s="1"/>
  <c r="R108" i="1" s="1"/>
  <c r="S108" i="1" s="1"/>
  <c r="R109" i="1" s="1"/>
  <c r="S109" i="1" s="1"/>
  <c r="R110" i="1" s="1"/>
  <c r="S110" i="1" s="1"/>
  <c r="R111" i="1" s="1"/>
  <c r="S111" i="1" s="1"/>
  <c r="R112" i="1" s="1"/>
  <c r="S112" i="1" s="1"/>
  <c r="R113" i="1" s="1"/>
  <c r="S113" i="1" s="1"/>
  <c r="R114" i="1" s="1"/>
  <c r="S114" i="1" s="1"/>
  <c r="R115" i="1" s="1"/>
  <c r="S115" i="1" s="1"/>
  <c r="R116" i="1" s="1"/>
  <c r="S116" i="1" s="1"/>
  <c r="R117" i="1" s="1"/>
  <c r="S117" i="1" s="1"/>
  <c r="R118" i="1" s="1"/>
  <c r="S118" i="1" s="1"/>
  <c r="R119" i="1" s="1"/>
  <c r="S119" i="1" s="1"/>
  <c r="R120" i="1" s="1"/>
  <c r="S120" i="1" s="1"/>
  <c r="R121" i="1" s="1"/>
  <c r="S121" i="1" s="1"/>
  <c r="R64" i="1"/>
  <c r="S64" i="1" s="1"/>
  <c r="R65" i="1" s="1"/>
  <c r="S65" i="1" s="1"/>
  <c r="R66" i="1" s="1"/>
  <c r="S66" i="1" s="1"/>
  <c r="R67" i="1" s="1"/>
  <c r="S67" i="1" s="1"/>
  <c r="R55" i="1"/>
  <c r="S55" i="1" s="1"/>
  <c r="R56" i="1" s="1"/>
  <c r="S56" i="1" s="1"/>
  <c r="R57" i="1" s="1"/>
  <c r="S57" i="1" s="1"/>
  <c r="R58" i="1" s="1"/>
  <c r="S58" i="1" s="1"/>
  <c r="R59" i="1" s="1"/>
  <c r="S59" i="1" s="1"/>
  <c r="R60" i="1" s="1"/>
  <c r="S60" i="1" s="1"/>
  <c r="R61" i="1" s="1"/>
  <c r="S61" i="1" s="1"/>
  <c r="R62" i="1" s="1"/>
  <c r="S62" i="1" s="1"/>
  <c r="R63" i="1" s="1"/>
  <c r="S50" i="1"/>
  <c r="R51" i="1" s="1"/>
  <c r="S51" i="1" s="1"/>
  <c r="R52" i="1" s="1"/>
  <c r="S52" i="1" s="1"/>
  <c r="R53" i="1" s="1"/>
  <c r="S53" i="1" s="1"/>
  <c r="R54" i="1" s="1"/>
  <c r="R46" i="1"/>
  <c r="S46" i="1" s="1"/>
  <c r="R47" i="1" s="1"/>
  <c r="R37" i="1"/>
  <c r="S37" i="1" s="1"/>
  <c r="R38" i="1" s="1"/>
  <c r="S38" i="1" s="1"/>
  <c r="R39" i="1" s="1"/>
  <c r="S39" i="1" s="1"/>
  <c r="R40" i="1" s="1"/>
  <c r="S40" i="1" s="1"/>
  <c r="R41" i="1" s="1"/>
  <c r="S41" i="1" s="1"/>
  <c r="R42" i="1" s="1"/>
  <c r="S42" i="1" s="1"/>
  <c r="R43" i="1" s="1"/>
  <c r="S43" i="1" s="1"/>
  <c r="R44" i="1" s="1"/>
  <c r="S44" i="1" s="1"/>
  <c r="R45" i="1" s="1"/>
  <c r="S32" i="1"/>
  <c r="R33" i="1" s="1"/>
  <c r="S33" i="1" s="1"/>
  <c r="R34" i="1" s="1"/>
  <c r="S34" i="1" s="1"/>
  <c r="R35" i="1" s="1"/>
  <c r="S35" i="1" s="1"/>
  <c r="R36" i="1" s="1"/>
  <c r="J263" i="1"/>
  <c r="J308" i="1" s="1"/>
  <c r="J262" i="1"/>
  <c r="J307" i="1" s="1"/>
  <c r="J261" i="1"/>
  <c r="J306" i="1" s="1"/>
  <c r="J260" i="1"/>
  <c r="J305" i="1" s="1"/>
  <c r="J259" i="1"/>
  <c r="J304" i="1" s="1"/>
  <c r="J258" i="1"/>
  <c r="J264" i="1" s="1"/>
  <c r="J309" i="1" s="1"/>
  <c r="J257" i="1"/>
  <c r="J265" i="1" s="1"/>
  <c r="J310" i="1" s="1"/>
  <c r="J254" i="1"/>
  <c r="J299" i="1" s="1"/>
  <c r="J253" i="1"/>
  <c r="J298" i="1" s="1"/>
  <c r="J252" i="1"/>
  <c r="J297" i="1" s="1"/>
  <c r="J251" i="1"/>
  <c r="J296" i="1" s="1"/>
  <c r="J250" i="1"/>
  <c r="J295" i="1" s="1"/>
  <c r="J249" i="1"/>
  <c r="J255" i="1" s="1"/>
  <c r="J300" i="1" s="1"/>
  <c r="J248" i="1"/>
  <c r="J256" i="1" s="1"/>
  <c r="J301" i="1" s="1"/>
  <c r="J245" i="1"/>
  <c r="J290" i="1" s="1"/>
  <c r="J244" i="1"/>
  <c r="J289" i="1" s="1"/>
  <c r="J243" i="1"/>
  <c r="J288" i="1" s="1"/>
  <c r="J242" i="1"/>
  <c r="J287" i="1" s="1"/>
  <c r="J241" i="1"/>
  <c r="J286" i="1" s="1"/>
  <c r="J240" i="1"/>
  <c r="J285" i="1" s="1"/>
  <c r="J239" i="1"/>
  <c r="J284" i="1" s="1"/>
  <c r="J236" i="1"/>
  <c r="J281" i="1" s="1"/>
  <c r="J235" i="1"/>
  <c r="J280" i="1" s="1"/>
  <c r="J234" i="1"/>
  <c r="J279" i="1" s="1"/>
  <c r="J233" i="1"/>
  <c r="J278" i="1" s="1"/>
  <c r="J232" i="1"/>
  <c r="J277" i="1" s="1"/>
  <c r="J231" i="1"/>
  <c r="J276" i="1" s="1"/>
  <c r="J230" i="1"/>
  <c r="J238" i="1" s="1"/>
  <c r="J283" i="1" s="1"/>
  <c r="J227" i="1"/>
  <c r="J272" i="1" s="1"/>
  <c r="J226" i="1"/>
  <c r="J271" i="1" s="1"/>
  <c r="J225" i="1"/>
  <c r="J270" i="1" s="1"/>
  <c r="J224" i="1"/>
  <c r="J269" i="1" s="1"/>
  <c r="J223" i="1"/>
  <c r="J268" i="1" s="1"/>
  <c r="J222" i="1"/>
  <c r="J228" i="1" s="1"/>
  <c r="J273" i="1" s="1"/>
  <c r="J221" i="1"/>
  <c r="J266" i="1" s="1"/>
  <c r="L257" i="1"/>
  <c r="I264" i="1" s="1"/>
  <c r="I309" i="1" s="1"/>
  <c r="L248" i="1"/>
  <c r="H249" i="1" s="1"/>
  <c r="H294" i="1" s="1"/>
  <c r="L239" i="1"/>
  <c r="H247" i="1" s="1"/>
  <c r="H292" i="1" s="1"/>
  <c r="L230" i="1"/>
  <c r="H238" i="1" s="1"/>
  <c r="H283" i="1" s="1"/>
  <c r="I263" i="1"/>
  <c r="I308" i="1" s="1"/>
  <c r="I262" i="1"/>
  <c r="I307" i="1" s="1"/>
  <c r="I261" i="1"/>
  <c r="I306" i="1" s="1"/>
  <c r="I260" i="1"/>
  <c r="I305" i="1" s="1"/>
  <c r="I259" i="1"/>
  <c r="I304" i="1" s="1"/>
  <c r="I254" i="1"/>
  <c r="I299" i="1" s="1"/>
  <c r="I253" i="1"/>
  <c r="I298" i="1" s="1"/>
  <c r="I252" i="1"/>
  <c r="I297" i="1" s="1"/>
  <c r="I251" i="1"/>
  <c r="I296" i="1" s="1"/>
  <c r="I250" i="1"/>
  <c r="I295" i="1" s="1"/>
  <c r="I245" i="1"/>
  <c r="I290" i="1" s="1"/>
  <c r="I244" i="1"/>
  <c r="I289" i="1" s="1"/>
  <c r="I243" i="1"/>
  <c r="I288" i="1" s="1"/>
  <c r="I242" i="1"/>
  <c r="I287" i="1" s="1"/>
  <c r="I241" i="1"/>
  <c r="I286" i="1" s="1"/>
  <c r="I236" i="1"/>
  <c r="I281" i="1" s="1"/>
  <c r="I235" i="1"/>
  <c r="I280" i="1" s="1"/>
  <c r="I234" i="1"/>
  <c r="I279" i="1" s="1"/>
  <c r="I233" i="1"/>
  <c r="I278" i="1" s="1"/>
  <c r="I232" i="1"/>
  <c r="I277" i="1" s="1"/>
  <c r="I227" i="1"/>
  <c r="I272" i="1" s="1"/>
  <c r="I226" i="1"/>
  <c r="I271" i="1" s="1"/>
  <c r="I225" i="1"/>
  <c r="I270" i="1" s="1"/>
  <c r="I224" i="1"/>
  <c r="I269" i="1" s="1"/>
  <c r="I223" i="1"/>
  <c r="I268" i="1" s="1"/>
  <c r="H224" i="1"/>
  <c r="H269" i="1" s="1"/>
  <c r="H225" i="1"/>
  <c r="H270" i="1" s="1"/>
  <c r="H226" i="1"/>
  <c r="H271" i="1" s="1"/>
  <c r="H227" i="1"/>
  <c r="H272" i="1" s="1"/>
  <c r="H223" i="1"/>
  <c r="H268" i="1" s="1"/>
  <c r="L221" i="1"/>
  <c r="H229" i="1" s="1"/>
  <c r="H274" i="1" s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2" i="1"/>
  <c r="J161" i="1"/>
  <c r="J160" i="1"/>
  <c r="J159" i="1"/>
  <c r="J164" i="1"/>
  <c r="J163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I213" i="1"/>
  <c r="I214" i="1"/>
  <c r="I215" i="1"/>
  <c r="I216" i="1"/>
  <c r="I217" i="1"/>
  <c r="I218" i="1"/>
  <c r="I219" i="1"/>
  <c r="I220" i="1"/>
  <c r="I212" i="1"/>
  <c r="I204" i="1"/>
  <c r="I205" i="1"/>
  <c r="I206" i="1"/>
  <c r="I207" i="1"/>
  <c r="I208" i="1"/>
  <c r="I209" i="1"/>
  <c r="I210" i="1"/>
  <c r="I211" i="1"/>
  <c r="I203" i="1"/>
  <c r="I195" i="1"/>
  <c r="I196" i="1"/>
  <c r="I197" i="1"/>
  <c r="I198" i="1"/>
  <c r="I199" i="1"/>
  <c r="I200" i="1"/>
  <c r="I201" i="1"/>
  <c r="I202" i="1"/>
  <c r="I194" i="1"/>
  <c r="I186" i="1"/>
  <c r="I187" i="1"/>
  <c r="I188" i="1"/>
  <c r="I189" i="1"/>
  <c r="I190" i="1"/>
  <c r="I191" i="1"/>
  <c r="I192" i="1"/>
  <c r="I193" i="1"/>
  <c r="I185" i="1"/>
  <c r="I177" i="1"/>
  <c r="I178" i="1"/>
  <c r="I179" i="1"/>
  <c r="I180" i="1"/>
  <c r="I181" i="1"/>
  <c r="I182" i="1"/>
  <c r="I183" i="1"/>
  <c r="I184" i="1"/>
  <c r="I176" i="1"/>
  <c r="I168" i="1"/>
  <c r="I169" i="1"/>
  <c r="I170" i="1"/>
  <c r="I171" i="1"/>
  <c r="I172" i="1"/>
  <c r="I173" i="1"/>
  <c r="I174" i="1"/>
  <c r="I175" i="1"/>
  <c r="I167" i="1"/>
  <c r="I159" i="1"/>
  <c r="I160" i="1"/>
  <c r="I161" i="1"/>
  <c r="I162" i="1"/>
  <c r="I163" i="1"/>
  <c r="I164" i="1"/>
  <c r="I165" i="1"/>
  <c r="I166" i="1"/>
  <c r="I158" i="1"/>
  <c r="I150" i="1"/>
  <c r="I151" i="1"/>
  <c r="I152" i="1"/>
  <c r="I153" i="1"/>
  <c r="I154" i="1"/>
  <c r="I155" i="1"/>
  <c r="I156" i="1"/>
  <c r="I157" i="1"/>
  <c r="I149" i="1"/>
  <c r="I141" i="1"/>
  <c r="I142" i="1"/>
  <c r="I143" i="1"/>
  <c r="I144" i="1"/>
  <c r="I145" i="1"/>
  <c r="I146" i="1"/>
  <c r="I147" i="1"/>
  <c r="I148" i="1"/>
  <c r="I140" i="1"/>
  <c r="I132" i="1"/>
  <c r="I133" i="1"/>
  <c r="I134" i="1"/>
  <c r="I135" i="1"/>
  <c r="I136" i="1"/>
  <c r="I137" i="1"/>
  <c r="I138" i="1"/>
  <c r="I139" i="1"/>
  <c r="I131" i="1"/>
  <c r="I123" i="1"/>
  <c r="I124" i="1"/>
  <c r="I125" i="1"/>
  <c r="I126" i="1"/>
  <c r="I127" i="1"/>
  <c r="I128" i="1"/>
  <c r="I129" i="1"/>
  <c r="I130" i="1"/>
  <c r="I122" i="1"/>
  <c r="I114" i="1"/>
  <c r="I115" i="1"/>
  <c r="I116" i="1"/>
  <c r="I117" i="1"/>
  <c r="I118" i="1"/>
  <c r="I119" i="1"/>
  <c r="I120" i="1"/>
  <c r="I121" i="1"/>
  <c r="I113" i="1"/>
  <c r="I108" i="1"/>
  <c r="I109" i="1"/>
  <c r="I110" i="1"/>
  <c r="I111" i="1"/>
  <c r="I112" i="1"/>
  <c r="I104" i="1"/>
  <c r="I105" i="1"/>
  <c r="I106" i="1"/>
  <c r="I107" i="1"/>
  <c r="I96" i="1"/>
  <c r="I97" i="1"/>
  <c r="I98" i="1"/>
  <c r="I99" i="1"/>
  <c r="I100" i="1"/>
  <c r="I101" i="1"/>
  <c r="I102" i="1"/>
  <c r="I103" i="1"/>
  <c r="I95" i="1"/>
  <c r="I87" i="1"/>
  <c r="I88" i="1"/>
  <c r="I89" i="1"/>
  <c r="I90" i="1"/>
  <c r="I91" i="1"/>
  <c r="I92" i="1"/>
  <c r="I93" i="1"/>
  <c r="I94" i="1"/>
  <c r="I86" i="1"/>
  <c r="I78" i="1"/>
  <c r="I79" i="1"/>
  <c r="I80" i="1"/>
  <c r="I81" i="1"/>
  <c r="I82" i="1"/>
  <c r="I83" i="1"/>
  <c r="I84" i="1"/>
  <c r="I85" i="1"/>
  <c r="I77" i="1"/>
  <c r="I69" i="1"/>
  <c r="I70" i="1"/>
  <c r="I71" i="1"/>
  <c r="I72" i="1"/>
  <c r="I73" i="1"/>
  <c r="I74" i="1"/>
  <c r="I75" i="1"/>
  <c r="I76" i="1"/>
  <c r="I68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I60" i="1"/>
  <c r="I61" i="1"/>
  <c r="I62" i="1"/>
  <c r="I63" i="1"/>
  <c r="I64" i="1"/>
  <c r="I65" i="1"/>
  <c r="I66" i="1"/>
  <c r="I67" i="1"/>
  <c r="I59" i="1"/>
  <c r="I58" i="1"/>
  <c r="I51" i="1"/>
  <c r="I52" i="1"/>
  <c r="I53" i="1"/>
  <c r="I54" i="1"/>
  <c r="I55" i="1"/>
  <c r="I56" i="1"/>
  <c r="I57" i="1"/>
  <c r="I50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J49" i="1"/>
  <c r="J48" i="1"/>
  <c r="J47" i="1"/>
  <c r="J46" i="1"/>
  <c r="J45" i="1"/>
  <c r="J44" i="1"/>
  <c r="J43" i="1"/>
  <c r="J42" i="1"/>
  <c r="J41" i="1"/>
  <c r="I49" i="1"/>
  <c r="I48" i="1"/>
  <c r="I47" i="1"/>
  <c r="I46" i="1"/>
  <c r="I45" i="1"/>
  <c r="I44" i="1"/>
  <c r="I43" i="1"/>
  <c r="I42" i="1"/>
  <c r="H49" i="1"/>
  <c r="H48" i="1"/>
  <c r="H47" i="1"/>
  <c r="H46" i="1"/>
  <c r="H45" i="1"/>
  <c r="H44" i="1"/>
  <c r="H43" i="1"/>
  <c r="H42" i="1"/>
  <c r="H41" i="1"/>
  <c r="I41" i="1"/>
  <c r="I40" i="1"/>
  <c r="I39" i="1"/>
  <c r="I38" i="1"/>
  <c r="I37" i="1"/>
  <c r="I36" i="1"/>
  <c r="I35" i="1"/>
  <c r="I34" i="1"/>
  <c r="I33" i="1"/>
  <c r="I32" i="1"/>
  <c r="H40" i="1"/>
  <c r="H39" i="1"/>
  <c r="H38" i="1"/>
  <c r="H37" i="1"/>
  <c r="H36" i="1"/>
  <c r="H35" i="1"/>
  <c r="H34" i="1"/>
  <c r="H33" i="1"/>
  <c r="H32" i="1"/>
  <c r="J40" i="1"/>
  <c r="J39" i="1"/>
  <c r="J38" i="1"/>
  <c r="J37" i="1"/>
  <c r="J36" i="1"/>
  <c r="J35" i="1"/>
  <c r="J34" i="1"/>
  <c r="J33" i="1"/>
  <c r="J32" i="1"/>
  <c r="J275" i="1" l="1"/>
  <c r="S480" i="1"/>
  <c r="S490" i="1" s="1"/>
  <c r="R491" i="1" s="1"/>
  <c r="S491" i="1" s="1"/>
  <c r="R492" i="1" s="1"/>
  <c r="S492" i="1" s="1"/>
  <c r="R493" i="1" s="1"/>
  <c r="S493" i="1" s="1"/>
  <c r="R494" i="1" s="1"/>
  <c r="S494" i="1" s="1"/>
  <c r="R495" i="1" s="1"/>
  <c r="S495" i="1" s="1"/>
  <c r="R496" i="1" s="1"/>
  <c r="S496" i="1" s="1"/>
  <c r="R497" i="1" s="1"/>
  <c r="S497" i="1" s="1"/>
  <c r="R498" i="1" s="1"/>
  <c r="S498" i="1" s="1"/>
  <c r="R499" i="1" s="1"/>
  <c r="H222" i="1"/>
  <c r="H267" i="1" s="1"/>
  <c r="J294" i="1"/>
  <c r="R316" i="1"/>
  <c r="J293" i="1"/>
  <c r="I221" i="1"/>
  <c r="I266" i="1" s="1"/>
  <c r="H228" i="1"/>
  <c r="H273" i="1" s="1"/>
  <c r="I228" i="1"/>
  <c r="I273" i="1" s="1"/>
  <c r="I229" i="1"/>
  <c r="I274" i="1" s="1"/>
  <c r="I238" i="1"/>
  <c r="I283" i="1" s="1"/>
  <c r="S47" i="1"/>
  <c r="R48" i="1" s="1"/>
  <c r="S48" i="1" s="1"/>
  <c r="R49" i="1" s="1"/>
  <c r="S49" i="1" s="1"/>
  <c r="H263" i="1"/>
  <c r="H308" i="1" s="1"/>
  <c r="H262" i="1"/>
  <c r="H307" i="1" s="1"/>
  <c r="R404" i="1"/>
  <c r="R412" i="1" s="1"/>
  <c r="S412" i="1" s="1"/>
  <c r="R413" i="1" s="1"/>
  <c r="S413" i="1" s="1"/>
  <c r="R414" i="1" s="1"/>
  <c r="S414" i="1" s="1"/>
  <c r="R415" i="1" s="1"/>
  <c r="S415" i="1" s="1"/>
  <c r="R416" i="1" s="1"/>
  <c r="S416" i="1" s="1"/>
  <c r="R417" i="1" s="1"/>
  <c r="S417" i="1" s="1"/>
  <c r="R418" i="1" s="1"/>
  <c r="S418" i="1" s="1"/>
  <c r="R419" i="1" s="1"/>
  <c r="S419" i="1" s="1"/>
  <c r="H261" i="1"/>
  <c r="H306" i="1" s="1"/>
  <c r="H260" i="1"/>
  <c r="H305" i="1" s="1"/>
  <c r="J303" i="1"/>
  <c r="J267" i="1"/>
  <c r="H231" i="1"/>
  <c r="H276" i="1" s="1"/>
  <c r="H259" i="1"/>
  <c r="H304" i="1" s="1"/>
  <c r="I231" i="1"/>
  <c r="I276" i="1" s="1"/>
  <c r="H234" i="1"/>
  <c r="H279" i="1" s="1"/>
  <c r="J237" i="1"/>
  <c r="J282" i="1" s="1"/>
  <c r="S340" i="1"/>
  <c r="R341" i="1" s="1"/>
  <c r="S341" i="1" s="1"/>
  <c r="R342" i="1" s="1"/>
  <c r="S342" i="1" s="1"/>
  <c r="R343" i="1" s="1"/>
  <c r="S343" i="1" s="1"/>
  <c r="R344" i="1" s="1"/>
  <c r="S344" i="1" s="1"/>
  <c r="R345" i="1" s="1"/>
  <c r="S345" i="1" s="1"/>
  <c r="R346" i="1" s="1"/>
  <c r="S346" i="1" s="1"/>
  <c r="R347" i="1" s="1"/>
  <c r="S347" i="1" s="1"/>
  <c r="S440" i="1"/>
  <c r="H221" i="1"/>
  <c r="H266" i="1" s="1"/>
  <c r="I237" i="1"/>
  <c r="I282" i="1" s="1"/>
  <c r="I248" i="1"/>
  <c r="I293" i="1" s="1"/>
  <c r="I249" i="1"/>
  <c r="I294" i="1" s="1"/>
  <c r="I255" i="1"/>
  <c r="I300" i="1" s="1"/>
  <c r="R356" i="1"/>
  <c r="S348" i="1"/>
  <c r="R349" i="1" s="1"/>
  <c r="S349" i="1" s="1"/>
  <c r="R350" i="1" s="1"/>
  <c r="S350" i="1" s="1"/>
  <c r="R351" i="1" s="1"/>
  <c r="S351" i="1" s="1"/>
  <c r="R352" i="1" s="1"/>
  <c r="S352" i="1" s="1"/>
  <c r="R353" i="1" s="1"/>
  <c r="S353" i="1" s="1"/>
  <c r="R354" i="1" s="1"/>
  <c r="S354" i="1" s="1"/>
  <c r="R355" i="1" s="1"/>
  <c r="S355" i="1" s="1"/>
  <c r="S251" i="1"/>
  <c r="R252" i="1" s="1"/>
  <c r="S252" i="1" s="1"/>
  <c r="R253" i="1" s="1"/>
  <c r="S253" i="1" s="1"/>
  <c r="R254" i="1" s="1"/>
  <c r="J247" i="1"/>
  <c r="J292" i="1" s="1"/>
  <c r="H239" i="1"/>
  <c r="H284" i="1" s="1"/>
  <c r="H240" i="1"/>
  <c r="H285" i="1" s="1"/>
  <c r="H250" i="1"/>
  <c r="H295" i="1" s="1"/>
  <c r="H254" i="1"/>
  <c r="H299" i="1" s="1"/>
  <c r="I256" i="1"/>
  <c r="I301" i="1" s="1"/>
  <c r="J246" i="1"/>
  <c r="J291" i="1" s="1"/>
  <c r="H256" i="1"/>
  <c r="H301" i="1" s="1"/>
  <c r="H241" i="1"/>
  <c r="H286" i="1" s="1"/>
  <c r="H245" i="1"/>
  <c r="H290" i="1" s="1"/>
  <c r="H253" i="1"/>
  <c r="H298" i="1" s="1"/>
  <c r="H230" i="1"/>
  <c r="H275" i="1" s="1"/>
  <c r="H244" i="1"/>
  <c r="H289" i="1" s="1"/>
  <c r="H252" i="1"/>
  <c r="H297" i="1" s="1"/>
  <c r="I230" i="1"/>
  <c r="I275" i="1" s="1"/>
  <c r="H243" i="1"/>
  <c r="H288" i="1" s="1"/>
  <c r="H251" i="1"/>
  <c r="H296" i="1" s="1"/>
  <c r="H255" i="1"/>
  <c r="H300" i="1" s="1"/>
  <c r="H242" i="1"/>
  <c r="H287" i="1" s="1"/>
  <c r="I239" i="1"/>
  <c r="I284" i="1" s="1"/>
  <c r="H258" i="1"/>
  <c r="H303" i="1" s="1"/>
  <c r="J229" i="1"/>
  <c r="J274" i="1" s="1"/>
  <c r="H232" i="1"/>
  <c r="H277" i="1" s="1"/>
  <c r="I240" i="1"/>
  <c r="I285" i="1" s="1"/>
  <c r="I257" i="1"/>
  <c r="I302" i="1" s="1"/>
  <c r="I222" i="1"/>
  <c r="I267" i="1" s="1"/>
  <c r="H236" i="1"/>
  <c r="H281" i="1" s="1"/>
  <c r="I246" i="1"/>
  <c r="I291" i="1" s="1"/>
  <c r="I258" i="1"/>
  <c r="I303" i="1" s="1"/>
  <c r="H235" i="1"/>
  <c r="H280" i="1" s="1"/>
  <c r="I247" i="1"/>
  <c r="I292" i="1" s="1"/>
  <c r="H264" i="1"/>
  <c r="H309" i="1" s="1"/>
  <c r="H257" i="1"/>
  <c r="H302" i="1" s="1"/>
  <c r="I265" i="1"/>
  <c r="I310" i="1" s="1"/>
  <c r="H246" i="1"/>
  <c r="H291" i="1" s="1"/>
  <c r="H265" i="1"/>
  <c r="H310" i="1" s="1"/>
  <c r="H233" i="1"/>
  <c r="H278" i="1" s="1"/>
  <c r="H237" i="1"/>
  <c r="H282" i="1" s="1"/>
  <c r="H248" i="1"/>
  <c r="H293" i="1" s="1"/>
  <c r="J302" i="1"/>
  <c r="R481" i="1" l="1"/>
  <c r="S481" i="1" s="1"/>
  <c r="R482" i="1" s="1"/>
  <c r="S482" i="1" s="1"/>
  <c r="R483" i="1" s="1"/>
  <c r="S483" i="1" s="1"/>
  <c r="R484" i="1" s="1"/>
  <c r="S484" i="1" s="1"/>
  <c r="R485" i="1" s="1"/>
  <c r="S485" i="1" s="1"/>
  <c r="R486" i="1" s="1"/>
  <c r="S486" i="1" s="1"/>
  <c r="R487" i="1" s="1"/>
  <c r="S487" i="1" s="1"/>
  <c r="R488" i="1" s="1"/>
  <c r="S488" i="1" s="1"/>
  <c r="R489" i="1" s="1"/>
  <c r="S316" i="1"/>
  <c r="R317" i="1" s="1"/>
  <c r="S317" i="1" s="1"/>
  <c r="R318" i="1" s="1"/>
  <c r="S318" i="1" s="1"/>
  <c r="R319" i="1" s="1"/>
  <c r="S319" i="1" s="1"/>
  <c r="R320" i="1" s="1"/>
  <c r="S320" i="1" s="1"/>
  <c r="R321" i="1" s="1"/>
  <c r="S321" i="1" s="1"/>
  <c r="R322" i="1" s="1"/>
  <c r="S322" i="1" s="1"/>
  <c r="R323" i="1" s="1"/>
  <c r="S323" i="1" s="1"/>
  <c r="R324" i="1"/>
  <c r="S324" i="1" s="1"/>
  <c r="R325" i="1" s="1"/>
  <c r="S325" i="1" s="1"/>
  <c r="R326" i="1" s="1"/>
  <c r="S326" i="1" s="1"/>
  <c r="R327" i="1" s="1"/>
  <c r="S327" i="1" s="1"/>
  <c r="R328" i="1" s="1"/>
  <c r="S328" i="1" s="1"/>
  <c r="R329" i="1" s="1"/>
  <c r="S329" i="1" s="1"/>
  <c r="R330" i="1" s="1"/>
  <c r="S330" i="1" s="1"/>
  <c r="R331" i="1" s="1"/>
  <c r="S331" i="1" s="1"/>
  <c r="S404" i="1"/>
  <c r="R405" i="1" s="1"/>
  <c r="S405" i="1" s="1"/>
  <c r="R406" i="1" s="1"/>
  <c r="S406" i="1" s="1"/>
  <c r="R407" i="1" s="1"/>
  <c r="S407" i="1" s="1"/>
  <c r="R408" i="1" s="1"/>
  <c r="S408" i="1" s="1"/>
  <c r="R409" i="1" s="1"/>
  <c r="S409" i="1" s="1"/>
  <c r="R410" i="1" s="1"/>
  <c r="S410" i="1" s="1"/>
  <c r="R411" i="1" s="1"/>
  <c r="S411" i="1" s="1"/>
  <c r="R441" i="1"/>
  <c r="S441" i="1" s="1"/>
  <c r="R442" i="1" s="1"/>
  <c r="S442" i="1" s="1"/>
  <c r="R443" i="1" s="1"/>
  <c r="S443" i="1" s="1"/>
  <c r="R444" i="1" s="1"/>
  <c r="S444" i="1" s="1"/>
  <c r="R445" i="1" s="1"/>
  <c r="S445" i="1" s="1"/>
  <c r="R446" i="1" s="1"/>
  <c r="S446" i="1" s="1"/>
  <c r="R447" i="1" s="1"/>
  <c r="S447" i="1" s="1"/>
  <c r="R448" i="1" s="1"/>
  <c r="S448" i="1" s="1"/>
  <c r="R449" i="1" s="1"/>
  <c r="S450" i="1"/>
  <c r="R451" i="1" s="1"/>
  <c r="S451" i="1" s="1"/>
  <c r="R452" i="1" s="1"/>
  <c r="S452" i="1" s="1"/>
  <c r="R453" i="1" s="1"/>
  <c r="S453" i="1" s="1"/>
  <c r="R454" i="1" s="1"/>
  <c r="S454" i="1" s="1"/>
  <c r="R455" i="1" s="1"/>
  <c r="S455" i="1" s="1"/>
  <c r="R456" i="1" s="1"/>
  <c r="S456" i="1" s="1"/>
  <c r="R457" i="1" s="1"/>
  <c r="S457" i="1" s="1"/>
  <c r="R458" i="1" s="1"/>
  <c r="S458" i="1" s="1"/>
  <c r="R459" i="1" s="1"/>
  <c r="R421" i="1"/>
  <c r="S421" i="1" s="1"/>
  <c r="R422" i="1" s="1"/>
  <c r="S422" i="1" s="1"/>
  <c r="R423" i="1" s="1"/>
  <c r="S423" i="1" s="1"/>
  <c r="R424" i="1" s="1"/>
  <c r="S424" i="1" s="1"/>
  <c r="R425" i="1" s="1"/>
  <c r="S425" i="1" s="1"/>
  <c r="R426" i="1" s="1"/>
  <c r="S426" i="1" s="1"/>
  <c r="R427" i="1" s="1"/>
  <c r="S427" i="1" s="1"/>
  <c r="R428" i="1" s="1"/>
  <c r="S428" i="1" s="1"/>
  <c r="R429" i="1" s="1"/>
  <c r="R364" i="1"/>
  <c r="S356" i="1"/>
  <c r="R357" i="1" s="1"/>
  <c r="S357" i="1" s="1"/>
  <c r="R358" i="1" s="1"/>
  <c r="S358" i="1" s="1"/>
  <c r="R359" i="1" s="1"/>
  <c r="S359" i="1" s="1"/>
  <c r="R360" i="1" s="1"/>
  <c r="S360" i="1" s="1"/>
  <c r="R361" i="1" s="1"/>
  <c r="S361" i="1" s="1"/>
  <c r="R362" i="1" s="1"/>
  <c r="S362" i="1" s="1"/>
  <c r="R363" i="1" s="1"/>
  <c r="S363" i="1" s="1"/>
  <c r="S364" i="1" l="1"/>
  <c r="R365" i="1" s="1"/>
  <c r="S365" i="1" s="1"/>
  <c r="R366" i="1" s="1"/>
  <c r="S366" i="1" s="1"/>
  <c r="R367" i="1" s="1"/>
  <c r="S367" i="1" s="1"/>
  <c r="R368" i="1" s="1"/>
  <c r="S368" i="1" s="1"/>
  <c r="R369" i="1" s="1"/>
  <c r="S369" i="1" s="1"/>
  <c r="R370" i="1" s="1"/>
  <c r="S370" i="1" s="1"/>
  <c r="R371" i="1" s="1"/>
  <c r="S371" i="1" s="1"/>
  <c r="R372" i="1"/>
  <c r="R380" i="1" l="1"/>
  <c r="S380" i="1" s="1"/>
  <c r="R381" i="1" s="1"/>
  <c r="S381" i="1" s="1"/>
  <c r="R382" i="1" s="1"/>
  <c r="S382" i="1" s="1"/>
  <c r="R383" i="1" s="1"/>
  <c r="S383" i="1" s="1"/>
  <c r="R384" i="1" s="1"/>
  <c r="S384" i="1" s="1"/>
  <c r="R385" i="1" s="1"/>
  <c r="S385" i="1" s="1"/>
  <c r="R386" i="1" s="1"/>
  <c r="S386" i="1" s="1"/>
  <c r="R387" i="1" s="1"/>
  <c r="S387" i="1" s="1"/>
  <c r="S372" i="1"/>
  <c r="R373" i="1" s="1"/>
  <c r="S373" i="1" s="1"/>
  <c r="R374" i="1" s="1"/>
  <c r="S374" i="1" s="1"/>
  <c r="R375" i="1" s="1"/>
  <c r="S375" i="1" s="1"/>
  <c r="R376" i="1" s="1"/>
  <c r="S376" i="1" s="1"/>
  <c r="R377" i="1" s="1"/>
  <c r="S377" i="1" s="1"/>
  <c r="R378" i="1" s="1"/>
  <c r="S378" i="1" s="1"/>
  <c r="R379" i="1" s="1"/>
  <c r="S379" i="1" s="1"/>
</calcChain>
</file>

<file path=xl/sharedStrings.xml><?xml version="1.0" encoding="utf-8"?>
<sst xmlns="http://schemas.openxmlformats.org/spreadsheetml/2006/main" count="3042" uniqueCount="418">
  <si>
    <t>X</t>
  </si>
  <si>
    <t>Y</t>
  </si>
  <si>
    <t>D</t>
  </si>
  <si>
    <t>A</t>
  </si>
  <si>
    <t>C</t>
  </si>
  <si>
    <t>B</t>
  </si>
  <si>
    <t>E</t>
  </si>
  <si>
    <t>F</t>
  </si>
  <si>
    <t>G</t>
  </si>
  <si>
    <t>No</t>
  </si>
  <si>
    <t>x</t>
  </si>
  <si>
    <t>y</t>
  </si>
  <si>
    <t>z</t>
  </si>
  <si>
    <t>Nom</t>
  </si>
  <si>
    <t>Type</t>
  </si>
  <si>
    <t>Nœud i</t>
  </si>
  <si>
    <t>Nœud j</t>
  </si>
  <si>
    <t>b</t>
  </si>
  <si>
    <t>h</t>
  </si>
  <si>
    <t>Matériau</t>
  </si>
  <si>
    <t>GL30h</t>
  </si>
  <si>
    <t>Secondaire 2</t>
  </si>
  <si>
    <t>Secondaire 1</t>
  </si>
  <si>
    <t>Panne</t>
  </si>
  <si>
    <t>Poutre B</t>
  </si>
  <si>
    <t>Poutre F</t>
  </si>
  <si>
    <t>Poutre 2</t>
  </si>
  <si>
    <t>Poutre 3</t>
  </si>
  <si>
    <t>Poutre 4</t>
  </si>
  <si>
    <t>Poutre 9</t>
  </si>
  <si>
    <t>Poutre 10</t>
  </si>
  <si>
    <t>Poutre 5</t>
  </si>
  <si>
    <t>Poutre 6</t>
  </si>
  <si>
    <t>Poutre 7</t>
  </si>
  <si>
    <t>Poutre 8</t>
  </si>
  <si>
    <t>Principale Longitudinale</t>
  </si>
  <si>
    <t>Principale Transversale</t>
  </si>
  <si>
    <t>Poutre d'angle</t>
  </si>
  <si>
    <t>Poutre de rive</t>
  </si>
  <si>
    <t>Panne longitudinale</t>
  </si>
  <si>
    <t>Panne de rive</t>
  </si>
  <si>
    <t>Panne d'angle</t>
  </si>
  <si>
    <t>C24</t>
  </si>
  <si>
    <t>Horizontal Constraint 1</t>
  </si>
  <si>
    <t>Vertical Constraint</t>
  </si>
  <si>
    <t>Z</t>
  </si>
  <si>
    <t>parent</t>
  </si>
  <si>
    <t>name</t>
  </si>
  <si>
    <t>Poutre 2-1</t>
  </si>
  <si>
    <t>Poutre 2-2</t>
  </si>
  <si>
    <t>Poutre B-1</t>
  </si>
  <si>
    <t>Poutre B-2</t>
  </si>
  <si>
    <t>Poutre B-3</t>
  </si>
  <si>
    <t>Poutre B-4</t>
  </si>
  <si>
    <t>Poutre B-5</t>
  </si>
  <si>
    <t>Poutre B-6</t>
  </si>
  <si>
    <t>Poutre B-7</t>
  </si>
  <si>
    <t>Poutre B-8</t>
  </si>
  <si>
    <t>Poutre B-9</t>
  </si>
  <si>
    <t>Poutre B-10</t>
  </si>
  <si>
    <t>Poutre B-11</t>
  </si>
  <si>
    <t>Poutre B-12</t>
  </si>
  <si>
    <t>Poutre B-13</t>
  </si>
  <si>
    <t>Poutre B-14</t>
  </si>
  <si>
    <t>Poutre B-15</t>
  </si>
  <si>
    <t>Poutre B-16</t>
  </si>
  <si>
    <t>Poutre B-17</t>
  </si>
  <si>
    <t>Poutre B-18</t>
  </si>
  <si>
    <t>Poutre F-1</t>
  </si>
  <si>
    <t>Poutre F-2</t>
  </si>
  <si>
    <t>Poutre F-3</t>
  </si>
  <si>
    <t>Poutre F-4</t>
  </si>
  <si>
    <t>Poutre F-5</t>
  </si>
  <si>
    <t>Poutre F-6</t>
  </si>
  <si>
    <t>Poutre F-7</t>
  </si>
  <si>
    <t>Poutre F-8</t>
  </si>
  <si>
    <t>Poutre F-9</t>
  </si>
  <si>
    <t>Poutre F-10</t>
  </si>
  <si>
    <t>Poutre F-11</t>
  </si>
  <si>
    <t>Poutre F-12</t>
  </si>
  <si>
    <t>Poutre F-13</t>
  </si>
  <si>
    <t>Poutre F-14</t>
  </si>
  <si>
    <t>Poutre F-15</t>
  </si>
  <si>
    <t>Poutre F-16</t>
  </si>
  <si>
    <t>Poutre F-17</t>
  </si>
  <si>
    <t>Poutre F-18</t>
  </si>
  <si>
    <t>Poutre 2-3</t>
  </si>
  <si>
    <t>Poutre 2-4</t>
  </si>
  <si>
    <t>Poutre 2-5</t>
  </si>
  <si>
    <t>Poutre 2-6</t>
  </si>
  <si>
    <t>Poutre 2-7</t>
  </si>
  <si>
    <t>Poutre 2-8</t>
  </si>
  <si>
    <t>Poutre 2-9</t>
  </si>
  <si>
    <t>Poutre 2-10</t>
  </si>
  <si>
    <t>Poutre 2-11</t>
  </si>
  <si>
    <t>Poutre 2-12</t>
  </si>
  <si>
    <t>Poutre 2-13</t>
  </si>
  <si>
    <t>Poutre 2-14</t>
  </si>
  <si>
    <t>Poutre 2-15</t>
  </si>
  <si>
    <t>Poutre 2-16</t>
  </si>
  <si>
    <t>Poutre 2-17</t>
  </si>
  <si>
    <t>Poutre 2-18</t>
  </si>
  <si>
    <t>Poutre 3-1</t>
  </si>
  <si>
    <t>Poutre 3-2</t>
  </si>
  <si>
    <t>Poutre 3-3</t>
  </si>
  <si>
    <t>Poutre 3-4</t>
  </si>
  <si>
    <t>Poutre 3-5</t>
  </si>
  <si>
    <t>Poutre 3-6</t>
  </si>
  <si>
    <t>Poutre 3-7</t>
  </si>
  <si>
    <t>Poutre 3-8</t>
  </si>
  <si>
    <t>Poutre 3-9</t>
  </si>
  <si>
    <t>Poutre 3-10</t>
  </si>
  <si>
    <t>Poutre 3-11</t>
  </si>
  <si>
    <t>Poutre 3-12</t>
  </si>
  <si>
    <t>Poutre 3-13</t>
  </si>
  <si>
    <t>Poutre 3-14</t>
  </si>
  <si>
    <t>Poutre 3-15</t>
  </si>
  <si>
    <t>Poutre 3-16</t>
  </si>
  <si>
    <t>Poutre 3-17</t>
  </si>
  <si>
    <t>Poutre 3-18</t>
  </si>
  <si>
    <t>Poutre 9-1</t>
  </si>
  <si>
    <t>Poutre 9-2</t>
  </si>
  <si>
    <t>Poutre 9-3</t>
  </si>
  <si>
    <t>Poutre 9-4</t>
  </si>
  <si>
    <t>Poutre 9-5</t>
  </si>
  <si>
    <t>Poutre 9-6</t>
  </si>
  <si>
    <t>Poutre 9-7</t>
  </si>
  <si>
    <t>Poutre 9-8</t>
  </si>
  <si>
    <t>Poutre 9-9</t>
  </si>
  <si>
    <t>Poutre 9-10</t>
  </si>
  <si>
    <t>Poutre 9-11</t>
  </si>
  <si>
    <t>Poutre 9-12</t>
  </si>
  <si>
    <t>Poutre 9-13</t>
  </si>
  <si>
    <t>Poutre 9-14</t>
  </si>
  <si>
    <t>Poutre 9-15</t>
  </si>
  <si>
    <t>Poutre 9-16</t>
  </si>
  <si>
    <t>Poutre 9-17</t>
  </si>
  <si>
    <t>Poutre 9-18</t>
  </si>
  <si>
    <t>Poutre 10-1</t>
  </si>
  <si>
    <t>Poutre 10-2</t>
  </si>
  <si>
    <t>Poutre 10-3</t>
  </si>
  <si>
    <t>Poutre 10-4</t>
  </si>
  <si>
    <t>Poutre 10-5</t>
  </si>
  <si>
    <t>Poutre 10-6</t>
  </si>
  <si>
    <t>Poutre 10-7</t>
  </si>
  <si>
    <t>Poutre 10-8</t>
  </si>
  <si>
    <t>Poutre 10-9</t>
  </si>
  <si>
    <t>Poutre 10-10</t>
  </si>
  <si>
    <t>Poutre 10-11</t>
  </si>
  <si>
    <t>Poutre 10-12</t>
  </si>
  <si>
    <t>Poutre 10-13</t>
  </si>
  <si>
    <t>Poutre 10-14</t>
  </si>
  <si>
    <t>Poutre 10-15</t>
  </si>
  <si>
    <t>Poutre 10-16</t>
  </si>
  <si>
    <t>Poutre 10-17</t>
  </si>
  <si>
    <t>Poutre 10-18</t>
  </si>
  <si>
    <t>Poutre 4-1</t>
  </si>
  <si>
    <t>Poutre 4-2</t>
  </si>
  <si>
    <t>Poutre 4-3</t>
  </si>
  <si>
    <t>Poutre 4-4</t>
  </si>
  <si>
    <t>Poutre 4-5</t>
  </si>
  <si>
    <t>Poutre 4-6</t>
  </si>
  <si>
    <t>Poutre 4-7</t>
  </si>
  <si>
    <t>Poutre 4-8</t>
  </si>
  <si>
    <t>Poutre 4-9</t>
  </si>
  <si>
    <t>Poutre 4-10</t>
  </si>
  <si>
    <t>Poutre 4-11</t>
  </si>
  <si>
    <t>Poutre 4-12</t>
  </si>
  <si>
    <t>Poutre 4-13</t>
  </si>
  <si>
    <t>Poutre 4-14</t>
  </si>
  <si>
    <t>Poutre 4-15</t>
  </si>
  <si>
    <t>Poutre 4-16</t>
  </si>
  <si>
    <t>Poutre 4-17</t>
  </si>
  <si>
    <t>Poutre 4-18</t>
  </si>
  <si>
    <t>Poutre 5-1</t>
  </si>
  <si>
    <t>Poutre 5-2</t>
  </si>
  <si>
    <t>Poutre 5-3</t>
  </si>
  <si>
    <t>Poutre 5-4</t>
  </si>
  <si>
    <t>Poutre 5-5</t>
  </si>
  <si>
    <t>Poutre 5-6</t>
  </si>
  <si>
    <t>Poutre 5-7</t>
  </si>
  <si>
    <t>Poutre 5-8</t>
  </si>
  <si>
    <t>Poutre 5-9</t>
  </si>
  <si>
    <t>Poutre 5-10</t>
  </si>
  <si>
    <t>Poutre 5-11</t>
  </si>
  <si>
    <t>Poutre 5-12</t>
  </si>
  <si>
    <t>Poutre 5-13</t>
  </si>
  <si>
    <t>Poutre 5-14</t>
  </si>
  <si>
    <t>Poutre 5-15</t>
  </si>
  <si>
    <t>Poutre 5-16</t>
  </si>
  <si>
    <t>Poutre 5-17</t>
  </si>
  <si>
    <t>Poutre 5-18</t>
  </si>
  <si>
    <t>Poutre 6-1</t>
  </si>
  <si>
    <t>Poutre 6-2</t>
  </si>
  <si>
    <t>Poutre 6-3</t>
  </si>
  <si>
    <t>Poutre 6-4</t>
  </si>
  <si>
    <t>Poutre 6-5</t>
  </si>
  <si>
    <t>Poutre 6-6</t>
  </si>
  <si>
    <t>Poutre 6-7</t>
  </si>
  <si>
    <t>Poutre 6-8</t>
  </si>
  <si>
    <t>Poutre 6-9</t>
  </si>
  <si>
    <t>Poutre 6-10</t>
  </si>
  <si>
    <t>Poutre 6-11</t>
  </si>
  <si>
    <t>Poutre 6-12</t>
  </si>
  <si>
    <t>Poutre 6-13</t>
  </si>
  <si>
    <t>Poutre 6-14</t>
  </si>
  <si>
    <t>Poutre 6-15</t>
  </si>
  <si>
    <t>Poutre 6-16</t>
  </si>
  <si>
    <t>Poutre 6-17</t>
  </si>
  <si>
    <t>Poutre 6-18</t>
  </si>
  <si>
    <t>Poutre 7-1</t>
  </si>
  <si>
    <t>Poutre 7-2</t>
  </si>
  <si>
    <t>Poutre 7-3</t>
  </si>
  <si>
    <t>Poutre 7-4</t>
  </si>
  <si>
    <t>Poutre 7-5</t>
  </si>
  <si>
    <t>Poutre 7-6</t>
  </si>
  <si>
    <t>Poutre 7-7</t>
  </si>
  <si>
    <t>Poutre 7-8</t>
  </si>
  <si>
    <t>Poutre 7-9</t>
  </si>
  <si>
    <t>Poutre 7-10</t>
  </si>
  <si>
    <t>Poutre 7-11</t>
  </si>
  <si>
    <t>Poutre 7-12</t>
  </si>
  <si>
    <t>Poutre 7-13</t>
  </si>
  <si>
    <t>Poutre 7-14</t>
  </si>
  <si>
    <t>Poutre 7-15</t>
  </si>
  <si>
    <t>Poutre 7-16</t>
  </si>
  <si>
    <t>Poutre 7-17</t>
  </si>
  <si>
    <t>Poutre 7-18</t>
  </si>
  <si>
    <t>Poutre 8-1</t>
  </si>
  <si>
    <t>Poutre 8-2</t>
  </si>
  <si>
    <t>Poutre 8-3</t>
  </si>
  <si>
    <t>Poutre 8-4</t>
  </si>
  <si>
    <t>Poutre 8-5</t>
  </si>
  <si>
    <t>Poutre 8-6</t>
  </si>
  <si>
    <t>Poutre 8-7</t>
  </si>
  <si>
    <t>Poutre 8-8</t>
  </si>
  <si>
    <t>Poutre 8-9</t>
  </si>
  <si>
    <t>Poutre 8-10</t>
  </si>
  <si>
    <t>Poutre 8-11</t>
  </si>
  <si>
    <t>Poutre 8-12</t>
  </si>
  <si>
    <t>Poutre 8-13</t>
  </si>
  <si>
    <t>Poutre 8-14</t>
  </si>
  <si>
    <t>Poutre 8-15</t>
  </si>
  <si>
    <t>Poutre 8-16</t>
  </si>
  <si>
    <t>Poutre 8-17</t>
  </si>
  <si>
    <t>Poutre 8-18</t>
  </si>
  <si>
    <t>Poutre d'angle-1</t>
  </si>
  <si>
    <t>Poutre d'angle-2</t>
  </si>
  <si>
    <t>Poutre d'angle-3</t>
  </si>
  <si>
    <t>Poutre d'angle-4</t>
  </si>
  <si>
    <t>Poutre d'angle-5</t>
  </si>
  <si>
    <t>Poutre d'angle-6</t>
  </si>
  <si>
    <t>Poutre d'angle-7</t>
  </si>
  <si>
    <t>Poutre d'angle-8</t>
  </si>
  <si>
    <t>Poutre d'angle-9</t>
  </si>
  <si>
    <t>Poutre d'angle-10</t>
  </si>
  <si>
    <t>Poutre de rive-1</t>
  </si>
  <si>
    <t>Poutre de rive-2</t>
  </si>
  <si>
    <t>Poutre de rive-3</t>
  </si>
  <si>
    <t>Poutre de rive-4</t>
  </si>
  <si>
    <t>Poutre de rive-5</t>
  </si>
  <si>
    <t>Poutre de rive-6</t>
  </si>
  <si>
    <t>Poutre de rive-7</t>
  </si>
  <si>
    <t>Poutre de rive-8</t>
  </si>
  <si>
    <t>Poutre de rive-9</t>
  </si>
  <si>
    <t>Poutre de rive-10</t>
  </si>
  <si>
    <t>Poutre de rive-11</t>
  </si>
  <si>
    <t>Poutre de rive-12</t>
  </si>
  <si>
    <t>Poutre de rive-13</t>
  </si>
  <si>
    <t>Poutre de rive-14</t>
  </si>
  <si>
    <t>Poutre de rive-15</t>
  </si>
  <si>
    <t>Poutre d'angle-11</t>
  </si>
  <si>
    <t>Poutre d'angle-12</t>
  </si>
  <si>
    <t>Poutre d'angle-13</t>
  </si>
  <si>
    <t>Poutre d'angle-14</t>
  </si>
  <si>
    <t>Poutre d'angle-15</t>
  </si>
  <si>
    <t>Poutre d'angle-16</t>
  </si>
  <si>
    <t>Poutre d'angle-17</t>
  </si>
  <si>
    <t>Poutre d'angle-18</t>
  </si>
  <si>
    <t>Poutre d'angle-19</t>
  </si>
  <si>
    <t>Poutre d'angle-20</t>
  </si>
  <si>
    <t>Panne longitudinale-1</t>
  </si>
  <si>
    <t>Panne longitudinale-2</t>
  </si>
  <si>
    <t>Panne longitudinale-3</t>
  </si>
  <si>
    <t>Panne longitudinale-4</t>
  </si>
  <si>
    <t>Panne longitudinale-5</t>
  </si>
  <si>
    <t>Panne longitudinale-6</t>
  </si>
  <si>
    <t>Panne longitudinale-7</t>
  </si>
  <si>
    <t>Panne longitudinale-8</t>
  </si>
  <si>
    <t>Panne longitudinale-9</t>
  </si>
  <si>
    <t>Panne longitudinale-10</t>
  </si>
  <si>
    <t>Panne longitudinale-11</t>
  </si>
  <si>
    <t>Panne longitudinale-12</t>
  </si>
  <si>
    <t>Panne longitudinale-13</t>
  </si>
  <si>
    <t>Panne longitudinale-14</t>
  </si>
  <si>
    <t>Panne longitudinale-15</t>
  </si>
  <si>
    <t>Panne longitudinale-16</t>
  </si>
  <si>
    <t>Panne longitudinale-17</t>
  </si>
  <si>
    <t>Panne longitudinale-18</t>
  </si>
  <si>
    <t>Panne longitudinale-19</t>
  </si>
  <si>
    <t>Panne longitudinale-20</t>
  </si>
  <si>
    <t>Panne longitudinale-21</t>
  </si>
  <si>
    <t>Panne longitudinale-22</t>
  </si>
  <si>
    <t>Panne longitudinale-23</t>
  </si>
  <si>
    <t>Panne longitudinale-24</t>
  </si>
  <si>
    <t>Panne longitudinale-25</t>
  </si>
  <si>
    <t>Panne longitudinale-26</t>
  </si>
  <si>
    <t>Panne longitudinale-27</t>
  </si>
  <si>
    <t>Panne longitudinale-28</t>
  </si>
  <si>
    <t>Panne longitudinale-29</t>
  </si>
  <si>
    <t>Panne longitudinale-30</t>
  </si>
  <si>
    <t>Panne longitudinale-31</t>
  </si>
  <si>
    <t>Panne longitudinale-32</t>
  </si>
  <si>
    <t>Panne longitudinale-33</t>
  </si>
  <si>
    <t>Panne longitudinale-34</t>
  </si>
  <si>
    <t>Panne longitudinale-35</t>
  </si>
  <si>
    <t>Panne longitudinale-36</t>
  </si>
  <si>
    <t>Panne longitudinale-37</t>
  </si>
  <si>
    <t>Panne longitudinale-38</t>
  </si>
  <si>
    <t>Panne longitudinale-39</t>
  </si>
  <si>
    <t>Panne longitudinale-40</t>
  </si>
  <si>
    <t>Panne longitudinale-41</t>
  </si>
  <si>
    <t>Panne longitudinale-42</t>
  </si>
  <si>
    <t>Panne longitudinale-43</t>
  </si>
  <si>
    <t>Panne longitudinale-44</t>
  </si>
  <si>
    <t>Panne longitudinale-45</t>
  </si>
  <si>
    <t>Panne longitudinale-46</t>
  </si>
  <si>
    <t>Panne longitudinale-47</t>
  </si>
  <si>
    <t>Panne longitudinale-48</t>
  </si>
  <si>
    <t>Panne longitudinale-49</t>
  </si>
  <si>
    <t>Panne longitudinale-50</t>
  </si>
  <si>
    <t>Panne longitudinale-51</t>
  </si>
  <si>
    <t>Panne longitudinale-52</t>
  </si>
  <si>
    <t>Panne longitudinale-53</t>
  </si>
  <si>
    <t>Panne longitudinale-54</t>
  </si>
  <si>
    <t>Panne longitudinale-55</t>
  </si>
  <si>
    <t>Panne longitudinale-56</t>
  </si>
  <si>
    <t>Panne longitudinale-57</t>
  </si>
  <si>
    <t>Panne longitudinale-58</t>
  </si>
  <si>
    <t>Panne longitudinale-59</t>
  </si>
  <si>
    <t>Panne longitudinale-60</t>
  </si>
  <si>
    <t>Panne longitudinale-61</t>
  </si>
  <si>
    <t>Panne longitudinale-62</t>
  </si>
  <si>
    <t>Panne longitudinale-63</t>
  </si>
  <si>
    <t>Panne longitudinale-64</t>
  </si>
  <si>
    <t>Panne longitudinale-65</t>
  </si>
  <si>
    <t>Panne longitudinale-66</t>
  </si>
  <si>
    <t>Panne longitudinale-67</t>
  </si>
  <si>
    <t>Panne longitudinale-68</t>
  </si>
  <si>
    <t>Panne longitudinale-69</t>
  </si>
  <si>
    <t>Panne longitudinale-70</t>
  </si>
  <si>
    <t>Panne longitudinale-71</t>
  </si>
  <si>
    <t>Panne longitudinale-72</t>
  </si>
  <si>
    <t>Panne longitudinale-73</t>
  </si>
  <si>
    <t>Panne longitudinale-74</t>
  </si>
  <si>
    <t>Panne longitudinale-75</t>
  </si>
  <si>
    <t>Panne longitudinale-76</t>
  </si>
  <si>
    <t>Panne longitudinale-77</t>
  </si>
  <si>
    <t>Panne longitudinale-78</t>
  </si>
  <si>
    <t>Panne longitudinale-79</t>
  </si>
  <si>
    <t>Panne longitudinale-80</t>
  </si>
  <si>
    <t>Panne longitudinale-81</t>
  </si>
  <si>
    <t>Panne longitudinale-82</t>
  </si>
  <si>
    <t>Panne longitudinale-83</t>
  </si>
  <si>
    <t>Panne longitudinale-84</t>
  </si>
  <si>
    <t>Panne longitudinale-85</t>
  </si>
  <si>
    <t>Panne longitudinale-86</t>
  </si>
  <si>
    <t>Panne longitudinale-87</t>
  </si>
  <si>
    <t>Panne longitudinale-88</t>
  </si>
  <si>
    <t>Panne longitudinale-89</t>
  </si>
  <si>
    <t>Panne longitudinale-90</t>
  </si>
  <si>
    <t>Panne longitudinale-91</t>
  </si>
  <si>
    <t>Panne longitudinale-92</t>
  </si>
  <si>
    <t>Panne longitudinale-93</t>
  </si>
  <si>
    <t>Panne longitudinale-94</t>
  </si>
  <si>
    <t>Panne longitudinale-95</t>
  </si>
  <si>
    <t>Panne longitudinale-96</t>
  </si>
  <si>
    <t>Panne longitudinale-97</t>
  </si>
  <si>
    <t>Panne longitudinale-98</t>
  </si>
  <si>
    <t>Panne longitudinale-99</t>
  </si>
  <si>
    <t>Panne longitudinale-100</t>
  </si>
  <si>
    <t>Panne longitudinale-101</t>
  </si>
  <si>
    <t>Panne longitudinale-102</t>
  </si>
  <si>
    <t>Panne longitudinale-103</t>
  </si>
  <si>
    <t>Panne longitudinale-104</t>
  </si>
  <si>
    <t>Panne longitudinale-105</t>
  </si>
  <si>
    <t>Panne longitudinale-106</t>
  </si>
  <si>
    <t>Panne longitudinale-107</t>
  </si>
  <si>
    <t>Panne longitudinale-108</t>
  </si>
  <si>
    <t>Panne longitudinale-109</t>
  </si>
  <si>
    <t>Panne longitudinale-110</t>
  </si>
  <si>
    <t>Panne longitudinale-111</t>
  </si>
  <si>
    <t>Panne longitudinale-112</t>
  </si>
  <si>
    <t>Panne longitudinale-113</t>
  </si>
  <si>
    <t>Panne longitudinale-114</t>
  </si>
  <si>
    <t>Panne longitudinale-115</t>
  </si>
  <si>
    <t>Panne longitudinale-116</t>
  </si>
  <si>
    <t>Panne longitudinale-117</t>
  </si>
  <si>
    <t>Panne longitudinale-118</t>
  </si>
  <si>
    <t>Panne longitudinale-119</t>
  </si>
  <si>
    <t>Panne longitudinale-120</t>
  </si>
  <si>
    <t>Panne d'angle-1</t>
  </si>
  <si>
    <t>Panne d'angle-2</t>
  </si>
  <si>
    <t>Panne d'angle-3</t>
  </si>
  <si>
    <t>Panne d'angle-4</t>
  </si>
  <si>
    <t>Panne d'angle-5</t>
  </si>
  <si>
    <t>Panne d'angle-6</t>
  </si>
  <si>
    <t>Panne d'angle-7</t>
  </si>
  <si>
    <t>Panne d'angle-8</t>
  </si>
  <si>
    <t>Panne d'angle-9</t>
  </si>
  <si>
    <t>Panne d'angle-10</t>
  </si>
  <si>
    <t>Panne d'angle-11</t>
  </si>
  <si>
    <t>Panne d'angle-12</t>
  </si>
  <si>
    <t>Panne d'angle-13</t>
  </si>
  <si>
    <t>Panne de rive-1</t>
  </si>
  <si>
    <t>Panne de rive-2</t>
  </si>
  <si>
    <t>Panne de rive-3</t>
  </si>
  <si>
    <t>Panne de rive-4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</si>
</sst>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5" xfId="0" applyFill="1" applyBorder="1"/>
    <xf numFmtId="0" fontId="1" fillId="3" borderId="0" xfId="0" applyFont="1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164" fontId="0" fillId="0" borderId="0" xfId="0" applyNumberFormat="1"/>
    <xf numFmtId="0" fontId="0" fillId="5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7777777777778E-2"/>
          <c:y val="0.19721055701370663"/>
          <c:w val="0.86549300087489067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Feuil1!$H$32:$H$310</c:f>
              <c:numCache>
                <c:formatCode>0.000</c:formatCode>
                <c:ptCount val="279"/>
                <c:pt idx="0">
                  <c:v>-28.88</c:v>
                </c:pt>
                <c:pt idx="1">
                  <c:v>-21.66</c:v>
                </c:pt>
                <c:pt idx="2">
                  <c:v>-14.44</c:v>
                </c:pt>
                <c:pt idx="3">
                  <c:v>-7.22</c:v>
                </c:pt>
                <c:pt idx="4">
                  <c:v>0</c:v>
                </c:pt>
                <c:pt idx="5">
                  <c:v>7.22</c:v>
                </c:pt>
                <c:pt idx="6">
                  <c:v>14.44</c:v>
                </c:pt>
                <c:pt idx="7">
                  <c:v>21.66</c:v>
                </c:pt>
                <c:pt idx="8">
                  <c:v>28.88</c:v>
                </c:pt>
                <c:pt idx="9">
                  <c:v>-28.88</c:v>
                </c:pt>
                <c:pt idx="10">
                  <c:v>-21.66</c:v>
                </c:pt>
                <c:pt idx="11">
                  <c:v>-14.44</c:v>
                </c:pt>
                <c:pt idx="12">
                  <c:v>-7.22</c:v>
                </c:pt>
                <c:pt idx="13">
                  <c:v>0</c:v>
                </c:pt>
                <c:pt idx="14">
                  <c:v>7.22</c:v>
                </c:pt>
                <c:pt idx="15">
                  <c:v>14.44</c:v>
                </c:pt>
                <c:pt idx="16">
                  <c:v>21.66</c:v>
                </c:pt>
                <c:pt idx="17">
                  <c:v>28.88</c:v>
                </c:pt>
                <c:pt idx="18">
                  <c:v>-28.88</c:v>
                </c:pt>
                <c:pt idx="19">
                  <c:v>-21.66</c:v>
                </c:pt>
                <c:pt idx="20">
                  <c:v>-14.44</c:v>
                </c:pt>
                <c:pt idx="21">
                  <c:v>-7.22</c:v>
                </c:pt>
                <c:pt idx="22">
                  <c:v>0</c:v>
                </c:pt>
                <c:pt idx="23">
                  <c:v>7.22</c:v>
                </c:pt>
                <c:pt idx="24">
                  <c:v>14.44</c:v>
                </c:pt>
                <c:pt idx="25">
                  <c:v>21.66</c:v>
                </c:pt>
                <c:pt idx="26">
                  <c:v>28.88</c:v>
                </c:pt>
                <c:pt idx="27">
                  <c:v>-28.88</c:v>
                </c:pt>
                <c:pt idx="28">
                  <c:v>-21.66</c:v>
                </c:pt>
                <c:pt idx="29">
                  <c:v>-14.44</c:v>
                </c:pt>
                <c:pt idx="30">
                  <c:v>-7.22</c:v>
                </c:pt>
                <c:pt idx="31">
                  <c:v>0</c:v>
                </c:pt>
                <c:pt idx="32">
                  <c:v>7.22</c:v>
                </c:pt>
                <c:pt idx="33">
                  <c:v>14.44</c:v>
                </c:pt>
                <c:pt idx="34">
                  <c:v>21.66</c:v>
                </c:pt>
                <c:pt idx="35">
                  <c:v>28.88</c:v>
                </c:pt>
                <c:pt idx="36">
                  <c:v>-28.88</c:v>
                </c:pt>
                <c:pt idx="37">
                  <c:v>-21.66</c:v>
                </c:pt>
                <c:pt idx="38">
                  <c:v>-14.44</c:v>
                </c:pt>
                <c:pt idx="39">
                  <c:v>-7.22</c:v>
                </c:pt>
                <c:pt idx="40">
                  <c:v>0</c:v>
                </c:pt>
                <c:pt idx="41">
                  <c:v>7.22</c:v>
                </c:pt>
                <c:pt idx="42">
                  <c:v>14.44</c:v>
                </c:pt>
                <c:pt idx="43">
                  <c:v>21.66</c:v>
                </c:pt>
                <c:pt idx="44">
                  <c:v>28.88</c:v>
                </c:pt>
                <c:pt idx="45">
                  <c:v>-28.88</c:v>
                </c:pt>
                <c:pt idx="46">
                  <c:v>-21.66</c:v>
                </c:pt>
                <c:pt idx="47">
                  <c:v>-14.44</c:v>
                </c:pt>
                <c:pt idx="48">
                  <c:v>-7.22</c:v>
                </c:pt>
                <c:pt idx="49">
                  <c:v>0</c:v>
                </c:pt>
                <c:pt idx="50">
                  <c:v>7.22</c:v>
                </c:pt>
                <c:pt idx="51">
                  <c:v>14.44</c:v>
                </c:pt>
                <c:pt idx="52">
                  <c:v>21.66</c:v>
                </c:pt>
                <c:pt idx="53">
                  <c:v>28.88</c:v>
                </c:pt>
                <c:pt idx="54">
                  <c:v>-28.88</c:v>
                </c:pt>
                <c:pt idx="55">
                  <c:v>-21.66</c:v>
                </c:pt>
                <c:pt idx="56">
                  <c:v>-14.44</c:v>
                </c:pt>
                <c:pt idx="57">
                  <c:v>-7.22</c:v>
                </c:pt>
                <c:pt idx="58">
                  <c:v>0</c:v>
                </c:pt>
                <c:pt idx="59">
                  <c:v>7.22</c:v>
                </c:pt>
                <c:pt idx="60">
                  <c:v>14.44</c:v>
                </c:pt>
                <c:pt idx="61">
                  <c:v>21.66</c:v>
                </c:pt>
                <c:pt idx="62">
                  <c:v>28.88</c:v>
                </c:pt>
                <c:pt idx="63">
                  <c:v>-28.88</c:v>
                </c:pt>
                <c:pt idx="64">
                  <c:v>-21.66</c:v>
                </c:pt>
                <c:pt idx="65">
                  <c:v>-14.44</c:v>
                </c:pt>
                <c:pt idx="66">
                  <c:v>-7.22</c:v>
                </c:pt>
                <c:pt idx="67">
                  <c:v>0</c:v>
                </c:pt>
                <c:pt idx="68">
                  <c:v>7.22</c:v>
                </c:pt>
                <c:pt idx="69">
                  <c:v>14.44</c:v>
                </c:pt>
                <c:pt idx="70">
                  <c:v>21.66</c:v>
                </c:pt>
                <c:pt idx="71">
                  <c:v>28.88</c:v>
                </c:pt>
                <c:pt idx="72">
                  <c:v>-28.88</c:v>
                </c:pt>
                <c:pt idx="73">
                  <c:v>-21.66</c:v>
                </c:pt>
                <c:pt idx="74">
                  <c:v>-14.44</c:v>
                </c:pt>
                <c:pt idx="75">
                  <c:v>-7.22</c:v>
                </c:pt>
                <c:pt idx="76">
                  <c:v>0</c:v>
                </c:pt>
                <c:pt idx="77">
                  <c:v>7.22</c:v>
                </c:pt>
                <c:pt idx="78">
                  <c:v>14.44</c:v>
                </c:pt>
                <c:pt idx="79">
                  <c:v>21.66</c:v>
                </c:pt>
                <c:pt idx="80">
                  <c:v>28.88</c:v>
                </c:pt>
                <c:pt idx="81">
                  <c:v>-28.88</c:v>
                </c:pt>
                <c:pt idx="82">
                  <c:v>-21.66</c:v>
                </c:pt>
                <c:pt idx="83">
                  <c:v>-14.44</c:v>
                </c:pt>
                <c:pt idx="84">
                  <c:v>-7.22</c:v>
                </c:pt>
                <c:pt idx="85">
                  <c:v>0</c:v>
                </c:pt>
                <c:pt idx="86">
                  <c:v>7.22</c:v>
                </c:pt>
                <c:pt idx="87">
                  <c:v>14.44</c:v>
                </c:pt>
                <c:pt idx="88">
                  <c:v>21.66</c:v>
                </c:pt>
                <c:pt idx="89">
                  <c:v>28.88</c:v>
                </c:pt>
                <c:pt idx="90">
                  <c:v>-28.88</c:v>
                </c:pt>
                <c:pt idx="91">
                  <c:v>-21.66</c:v>
                </c:pt>
                <c:pt idx="92">
                  <c:v>-14.44</c:v>
                </c:pt>
                <c:pt idx="93">
                  <c:v>-7.22</c:v>
                </c:pt>
                <c:pt idx="94">
                  <c:v>0</c:v>
                </c:pt>
                <c:pt idx="95">
                  <c:v>7.22</c:v>
                </c:pt>
                <c:pt idx="96">
                  <c:v>14.44</c:v>
                </c:pt>
                <c:pt idx="97">
                  <c:v>21.66</c:v>
                </c:pt>
                <c:pt idx="98">
                  <c:v>28.88</c:v>
                </c:pt>
                <c:pt idx="99">
                  <c:v>-28.88</c:v>
                </c:pt>
                <c:pt idx="100">
                  <c:v>-21.66</c:v>
                </c:pt>
                <c:pt idx="101">
                  <c:v>-14.44</c:v>
                </c:pt>
                <c:pt idx="102">
                  <c:v>-7.22</c:v>
                </c:pt>
                <c:pt idx="103">
                  <c:v>0</c:v>
                </c:pt>
                <c:pt idx="104">
                  <c:v>7.22</c:v>
                </c:pt>
                <c:pt idx="105">
                  <c:v>14.44</c:v>
                </c:pt>
                <c:pt idx="106">
                  <c:v>21.66</c:v>
                </c:pt>
                <c:pt idx="107">
                  <c:v>28.88</c:v>
                </c:pt>
                <c:pt idx="108">
                  <c:v>-28.88</c:v>
                </c:pt>
                <c:pt idx="109">
                  <c:v>-21.66</c:v>
                </c:pt>
                <c:pt idx="110">
                  <c:v>-14.44</c:v>
                </c:pt>
                <c:pt idx="111">
                  <c:v>-7.22</c:v>
                </c:pt>
                <c:pt idx="112">
                  <c:v>0</c:v>
                </c:pt>
                <c:pt idx="113">
                  <c:v>7.22</c:v>
                </c:pt>
                <c:pt idx="114">
                  <c:v>14.44</c:v>
                </c:pt>
                <c:pt idx="115">
                  <c:v>21.66</c:v>
                </c:pt>
                <c:pt idx="116">
                  <c:v>28.88</c:v>
                </c:pt>
                <c:pt idx="117">
                  <c:v>-28.88</c:v>
                </c:pt>
                <c:pt idx="118">
                  <c:v>-21.66</c:v>
                </c:pt>
                <c:pt idx="119">
                  <c:v>-14.44</c:v>
                </c:pt>
                <c:pt idx="120">
                  <c:v>-7.22</c:v>
                </c:pt>
                <c:pt idx="121">
                  <c:v>0</c:v>
                </c:pt>
                <c:pt idx="122">
                  <c:v>7.22</c:v>
                </c:pt>
                <c:pt idx="123">
                  <c:v>14.44</c:v>
                </c:pt>
                <c:pt idx="124">
                  <c:v>21.66</c:v>
                </c:pt>
                <c:pt idx="125">
                  <c:v>28.88</c:v>
                </c:pt>
                <c:pt idx="126">
                  <c:v>-28.88</c:v>
                </c:pt>
                <c:pt idx="127">
                  <c:v>-21.66</c:v>
                </c:pt>
                <c:pt idx="128">
                  <c:v>-14.44</c:v>
                </c:pt>
                <c:pt idx="129">
                  <c:v>-7.22</c:v>
                </c:pt>
                <c:pt idx="130">
                  <c:v>0</c:v>
                </c:pt>
                <c:pt idx="131">
                  <c:v>7.22</c:v>
                </c:pt>
                <c:pt idx="132">
                  <c:v>14.44</c:v>
                </c:pt>
                <c:pt idx="133">
                  <c:v>21.66</c:v>
                </c:pt>
                <c:pt idx="134">
                  <c:v>28.88</c:v>
                </c:pt>
                <c:pt idx="135">
                  <c:v>-28.88</c:v>
                </c:pt>
                <c:pt idx="136">
                  <c:v>-21.66</c:v>
                </c:pt>
                <c:pt idx="137">
                  <c:v>-14.44</c:v>
                </c:pt>
                <c:pt idx="138">
                  <c:v>-7.22</c:v>
                </c:pt>
                <c:pt idx="139">
                  <c:v>0</c:v>
                </c:pt>
                <c:pt idx="140">
                  <c:v>7.22</c:v>
                </c:pt>
                <c:pt idx="141">
                  <c:v>14.44</c:v>
                </c:pt>
                <c:pt idx="142">
                  <c:v>21.66</c:v>
                </c:pt>
                <c:pt idx="143">
                  <c:v>28.88</c:v>
                </c:pt>
                <c:pt idx="144">
                  <c:v>-28.88</c:v>
                </c:pt>
                <c:pt idx="145">
                  <c:v>-21.66</c:v>
                </c:pt>
                <c:pt idx="146">
                  <c:v>-14.44</c:v>
                </c:pt>
                <c:pt idx="147">
                  <c:v>-7.22</c:v>
                </c:pt>
                <c:pt idx="148">
                  <c:v>0</c:v>
                </c:pt>
                <c:pt idx="149">
                  <c:v>7.22</c:v>
                </c:pt>
                <c:pt idx="150">
                  <c:v>14.44</c:v>
                </c:pt>
                <c:pt idx="151">
                  <c:v>21.66</c:v>
                </c:pt>
                <c:pt idx="152">
                  <c:v>28.88</c:v>
                </c:pt>
                <c:pt idx="153">
                  <c:v>-28.88</c:v>
                </c:pt>
                <c:pt idx="154">
                  <c:v>-21.66</c:v>
                </c:pt>
                <c:pt idx="155">
                  <c:v>-14.44</c:v>
                </c:pt>
                <c:pt idx="156">
                  <c:v>-7.22</c:v>
                </c:pt>
                <c:pt idx="157">
                  <c:v>0</c:v>
                </c:pt>
                <c:pt idx="158">
                  <c:v>7.22</c:v>
                </c:pt>
                <c:pt idx="159">
                  <c:v>14.44</c:v>
                </c:pt>
                <c:pt idx="160">
                  <c:v>21.66</c:v>
                </c:pt>
                <c:pt idx="161">
                  <c:v>28.88</c:v>
                </c:pt>
                <c:pt idx="162">
                  <c:v>-28.88</c:v>
                </c:pt>
                <c:pt idx="163">
                  <c:v>-21.66</c:v>
                </c:pt>
                <c:pt idx="164">
                  <c:v>-14.44</c:v>
                </c:pt>
                <c:pt idx="165">
                  <c:v>-7.22</c:v>
                </c:pt>
                <c:pt idx="166">
                  <c:v>0</c:v>
                </c:pt>
                <c:pt idx="167">
                  <c:v>7.22</c:v>
                </c:pt>
                <c:pt idx="168">
                  <c:v>14.44</c:v>
                </c:pt>
                <c:pt idx="169">
                  <c:v>21.66</c:v>
                </c:pt>
                <c:pt idx="170">
                  <c:v>28.88</c:v>
                </c:pt>
                <c:pt idx="171">
                  <c:v>-28.88</c:v>
                </c:pt>
                <c:pt idx="172">
                  <c:v>-21.66</c:v>
                </c:pt>
                <c:pt idx="173">
                  <c:v>-14.44</c:v>
                </c:pt>
                <c:pt idx="174">
                  <c:v>-7.22</c:v>
                </c:pt>
                <c:pt idx="175">
                  <c:v>0</c:v>
                </c:pt>
                <c:pt idx="176">
                  <c:v>7.22</c:v>
                </c:pt>
                <c:pt idx="177">
                  <c:v>14.44</c:v>
                </c:pt>
                <c:pt idx="178">
                  <c:v>21.66</c:v>
                </c:pt>
                <c:pt idx="179">
                  <c:v>28.88</c:v>
                </c:pt>
                <c:pt idx="180">
                  <c:v>-28.88</c:v>
                </c:pt>
                <c:pt idx="181">
                  <c:v>-21.66</c:v>
                </c:pt>
                <c:pt idx="182">
                  <c:v>-14.44</c:v>
                </c:pt>
                <c:pt idx="183">
                  <c:v>-7.22</c:v>
                </c:pt>
                <c:pt idx="184">
                  <c:v>0</c:v>
                </c:pt>
                <c:pt idx="185">
                  <c:v>7.22</c:v>
                </c:pt>
                <c:pt idx="186">
                  <c:v>14.44</c:v>
                </c:pt>
                <c:pt idx="187">
                  <c:v>21.66</c:v>
                </c:pt>
                <c:pt idx="188">
                  <c:v>28.88</c:v>
                </c:pt>
                <c:pt idx="189">
                  <c:v>-36.655000000000001</c:v>
                </c:pt>
                <c:pt idx="190">
                  <c:v>-42.346695028848018</c:v>
                </c:pt>
                <c:pt idx="191">
                  <c:v>-44.43</c:v>
                </c:pt>
                <c:pt idx="192">
                  <c:v>-44.43</c:v>
                </c:pt>
                <c:pt idx="193">
                  <c:v>-44.43</c:v>
                </c:pt>
                <c:pt idx="194">
                  <c:v>-44.43</c:v>
                </c:pt>
                <c:pt idx="195">
                  <c:v>-44.43</c:v>
                </c:pt>
                <c:pt idx="196">
                  <c:v>-42.346695028848018</c:v>
                </c:pt>
                <c:pt idx="197">
                  <c:v>-36.655000000000001</c:v>
                </c:pt>
                <c:pt idx="198">
                  <c:v>-35.229999999999997</c:v>
                </c:pt>
                <c:pt idx="199">
                  <c:v>-39.87852262806237</c:v>
                </c:pt>
                <c:pt idx="200">
                  <c:v>-41.58</c:v>
                </c:pt>
                <c:pt idx="201">
                  <c:v>-41.58</c:v>
                </c:pt>
                <c:pt idx="202">
                  <c:v>-41.58</c:v>
                </c:pt>
                <c:pt idx="203">
                  <c:v>-41.58</c:v>
                </c:pt>
                <c:pt idx="204">
                  <c:v>-41.58</c:v>
                </c:pt>
                <c:pt idx="205">
                  <c:v>-39.87852262806237</c:v>
                </c:pt>
                <c:pt idx="206">
                  <c:v>-35.229999999999997</c:v>
                </c:pt>
                <c:pt idx="207">
                  <c:v>-33.7575</c:v>
                </c:pt>
                <c:pt idx="208">
                  <c:v>-37.328077813917197</c:v>
                </c:pt>
                <c:pt idx="209">
                  <c:v>-38.634999999999998</c:v>
                </c:pt>
                <c:pt idx="210">
                  <c:v>-38.634999999999998</c:v>
                </c:pt>
                <c:pt idx="211">
                  <c:v>-38.634999999999998</c:v>
                </c:pt>
                <c:pt idx="212">
                  <c:v>-38.634999999999998</c:v>
                </c:pt>
                <c:pt idx="213">
                  <c:v>-38.634999999999998</c:v>
                </c:pt>
                <c:pt idx="214">
                  <c:v>-37.328077813917197</c:v>
                </c:pt>
                <c:pt idx="215">
                  <c:v>-33.7575</c:v>
                </c:pt>
                <c:pt idx="216">
                  <c:v>-32.244999999999997</c:v>
                </c:pt>
                <c:pt idx="217">
                  <c:v>-34.708350967469272</c:v>
                </c:pt>
                <c:pt idx="218">
                  <c:v>-35.61</c:v>
                </c:pt>
                <c:pt idx="219">
                  <c:v>-35.61</c:v>
                </c:pt>
                <c:pt idx="220">
                  <c:v>-35.61</c:v>
                </c:pt>
                <c:pt idx="221">
                  <c:v>-35.61</c:v>
                </c:pt>
                <c:pt idx="222">
                  <c:v>-35.61</c:v>
                </c:pt>
                <c:pt idx="223">
                  <c:v>-34.708350967469272</c:v>
                </c:pt>
                <c:pt idx="224">
                  <c:v>-32.244999999999997</c:v>
                </c:pt>
                <c:pt idx="225">
                  <c:v>-30.7</c:v>
                </c:pt>
                <c:pt idx="226">
                  <c:v>-32.032332469775362</c:v>
                </c:pt>
                <c:pt idx="227">
                  <c:v>-32.520000000000003</c:v>
                </c:pt>
                <c:pt idx="228">
                  <c:v>-32.520000000000003</c:v>
                </c:pt>
                <c:pt idx="229">
                  <c:v>-32.520000000000003</c:v>
                </c:pt>
                <c:pt idx="230">
                  <c:v>-32.520000000000003</c:v>
                </c:pt>
                <c:pt idx="231">
                  <c:v>-32.520000000000003</c:v>
                </c:pt>
                <c:pt idx="232">
                  <c:v>-32.032332469775362</c:v>
                </c:pt>
                <c:pt idx="233">
                  <c:v>-30.7</c:v>
                </c:pt>
                <c:pt idx="234">
                  <c:v>36.655000000000001</c:v>
                </c:pt>
                <c:pt idx="235">
                  <c:v>42.346695028848018</c:v>
                </c:pt>
                <c:pt idx="236">
                  <c:v>44.43</c:v>
                </c:pt>
                <c:pt idx="237">
                  <c:v>44.43</c:v>
                </c:pt>
                <c:pt idx="238">
                  <c:v>44.43</c:v>
                </c:pt>
                <c:pt idx="239">
                  <c:v>44.43</c:v>
                </c:pt>
                <c:pt idx="240">
                  <c:v>44.43</c:v>
                </c:pt>
                <c:pt idx="241">
                  <c:v>42.346695028848018</c:v>
                </c:pt>
                <c:pt idx="242">
                  <c:v>36.655000000000001</c:v>
                </c:pt>
                <c:pt idx="243">
                  <c:v>35.229999999999997</c:v>
                </c:pt>
                <c:pt idx="244">
                  <c:v>39.87852262806237</c:v>
                </c:pt>
                <c:pt idx="245">
                  <c:v>41.58</c:v>
                </c:pt>
                <c:pt idx="246">
                  <c:v>41.58</c:v>
                </c:pt>
                <c:pt idx="247">
                  <c:v>41.58</c:v>
                </c:pt>
                <c:pt idx="248">
                  <c:v>41.58</c:v>
                </c:pt>
                <c:pt idx="249">
                  <c:v>41.58</c:v>
                </c:pt>
                <c:pt idx="250">
                  <c:v>39.87852262806237</c:v>
                </c:pt>
                <c:pt idx="251">
                  <c:v>35.229999999999997</c:v>
                </c:pt>
                <c:pt idx="252">
                  <c:v>33.7575</c:v>
                </c:pt>
                <c:pt idx="253">
                  <c:v>37.328077813917197</c:v>
                </c:pt>
                <c:pt idx="254">
                  <c:v>38.634999999999998</c:v>
                </c:pt>
                <c:pt idx="255">
                  <c:v>38.634999999999998</c:v>
                </c:pt>
                <c:pt idx="256">
                  <c:v>38.634999999999998</c:v>
                </c:pt>
                <c:pt idx="257">
                  <c:v>38.634999999999998</c:v>
                </c:pt>
                <c:pt idx="258">
                  <c:v>38.634999999999998</c:v>
                </c:pt>
                <c:pt idx="259">
                  <c:v>37.328077813917197</c:v>
                </c:pt>
                <c:pt idx="260">
                  <c:v>33.7575</c:v>
                </c:pt>
                <c:pt idx="261">
                  <c:v>32.244999999999997</c:v>
                </c:pt>
                <c:pt idx="262">
                  <c:v>34.708350967469272</c:v>
                </c:pt>
                <c:pt idx="263">
                  <c:v>35.61</c:v>
                </c:pt>
                <c:pt idx="264">
                  <c:v>35.61</c:v>
                </c:pt>
                <c:pt idx="265">
                  <c:v>35.61</c:v>
                </c:pt>
                <c:pt idx="266">
                  <c:v>35.61</c:v>
                </c:pt>
                <c:pt idx="267">
                  <c:v>35.61</c:v>
                </c:pt>
                <c:pt idx="268">
                  <c:v>34.708350967469272</c:v>
                </c:pt>
                <c:pt idx="269">
                  <c:v>32.244999999999997</c:v>
                </c:pt>
                <c:pt idx="270">
                  <c:v>30.7</c:v>
                </c:pt>
                <c:pt idx="271">
                  <c:v>32.032332469775362</c:v>
                </c:pt>
                <c:pt idx="272">
                  <c:v>32.520000000000003</c:v>
                </c:pt>
                <c:pt idx="273">
                  <c:v>32.520000000000003</c:v>
                </c:pt>
                <c:pt idx="274">
                  <c:v>32.520000000000003</c:v>
                </c:pt>
                <c:pt idx="275">
                  <c:v>32.520000000000003</c:v>
                </c:pt>
                <c:pt idx="276">
                  <c:v>32.520000000000003</c:v>
                </c:pt>
                <c:pt idx="277">
                  <c:v>32.032332469775362</c:v>
                </c:pt>
                <c:pt idx="278">
                  <c:v>30.7</c:v>
                </c:pt>
              </c:numCache>
            </c:numRef>
          </c:xVal>
          <c:yVal>
            <c:numRef>
              <c:f>Feuil1!$I$32:$I$310</c:f>
              <c:numCache>
                <c:formatCode>0.000</c:formatCode>
                <c:ptCount val="279"/>
                <c:pt idx="0">
                  <c:v>-33.340000000000003</c:v>
                </c:pt>
                <c:pt idx="1">
                  <c:v>-33.340000000000003</c:v>
                </c:pt>
                <c:pt idx="2">
                  <c:v>-33.340000000000003</c:v>
                </c:pt>
                <c:pt idx="3">
                  <c:v>-33.340000000000003</c:v>
                </c:pt>
                <c:pt idx="4">
                  <c:v>-33.340000000000003</c:v>
                </c:pt>
                <c:pt idx="5">
                  <c:v>-33.340000000000003</c:v>
                </c:pt>
                <c:pt idx="6">
                  <c:v>-33.340000000000003</c:v>
                </c:pt>
                <c:pt idx="7">
                  <c:v>-33.340000000000003</c:v>
                </c:pt>
                <c:pt idx="8">
                  <c:v>-33.340000000000003</c:v>
                </c:pt>
                <c:pt idx="9">
                  <c:v>-30.23</c:v>
                </c:pt>
                <c:pt idx="10">
                  <c:v>-30.23</c:v>
                </c:pt>
                <c:pt idx="11">
                  <c:v>-30.23</c:v>
                </c:pt>
                <c:pt idx="12">
                  <c:v>-30.23</c:v>
                </c:pt>
                <c:pt idx="13">
                  <c:v>-30.23</c:v>
                </c:pt>
                <c:pt idx="14">
                  <c:v>-30.23</c:v>
                </c:pt>
                <c:pt idx="15">
                  <c:v>-30.23</c:v>
                </c:pt>
                <c:pt idx="16">
                  <c:v>-30.23</c:v>
                </c:pt>
                <c:pt idx="17">
                  <c:v>-30.23</c:v>
                </c:pt>
                <c:pt idx="18">
                  <c:v>-27.12</c:v>
                </c:pt>
                <c:pt idx="19">
                  <c:v>-27.12</c:v>
                </c:pt>
                <c:pt idx="20">
                  <c:v>-27.12</c:v>
                </c:pt>
                <c:pt idx="21">
                  <c:v>-27.12</c:v>
                </c:pt>
                <c:pt idx="22">
                  <c:v>-27.12</c:v>
                </c:pt>
                <c:pt idx="23">
                  <c:v>-27.12</c:v>
                </c:pt>
                <c:pt idx="24">
                  <c:v>-27.12</c:v>
                </c:pt>
                <c:pt idx="25">
                  <c:v>-27.12</c:v>
                </c:pt>
                <c:pt idx="26">
                  <c:v>-27.12</c:v>
                </c:pt>
                <c:pt idx="27">
                  <c:v>-24.01</c:v>
                </c:pt>
                <c:pt idx="28">
                  <c:v>-24.01</c:v>
                </c:pt>
                <c:pt idx="29">
                  <c:v>-24.01</c:v>
                </c:pt>
                <c:pt idx="30">
                  <c:v>-24.01</c:v>
                </c:pt>
                <c:pt idx="31">
                  <c:v>-24.01</c:v>
                </c:pt>
                <c:pt idx="32">
                  <c:v>-24.01</c:v>
                </c:pt>
                <c:pt idx="33">
                  <c:v>-24.01</c:v>
                </c:pt>
                <c:pt idx="34">
                  <c:v>-24.01</c:v>
                </c:pt>
                <c:pt idx="35">
                  <c:v>-24.01</c:v>
                </c:pt>
                <c:pt idx="36">
                  <c:v>-20.9</c:v>
                </c:pt>
                <c:pt idx="37">
                  <c:v>-20.9</c:v>
                </c:pt>
                <c:pt idx="38">
                  <c:v>-20.9</c:v>
                </c:pt>
                <c:pt idx="39">
                  <c:v>-20.9</c:v>
                </c:pt>
                <c:pt idx="40">
                  <c:v>-20.9</c:v>
                </c:pt>
                <c:pt idx="41">
                  <c:v>-20.9</c:v>
                </c:pt>
                <c:pt idx="42">
                  <c:v>-20.9</c:v>
                </c:pt>
                <c:pt idx="43">
                  <c:v>-20.9</c:v>
                </c:pt>
                <c:pt idx="44">
                  <c:v>-20.9</c:v>
                </c:pt>
                <c:pt idx="45">
                  <c:v>-17.79</c:v>
                </c:pt>
                <c:pt idx="46">
                  <c:v>-17.79</c:v>
                </c:pt>
                <c:pt idx="47">
                  <c:v>-17.79</c:v>
                </c:pt>
                <c:pt idx="48">
                  <c:v>-17.79</c:v>
                </c:pt>
                <c:pt idx="49">
                  <c:v>-17.79</c:v>
                </c:pt>
                <c:pt idx="50">
                  <c:v>-17.79</c:v>
                </c:pt>
                <c:pt idx="51">
                  <c:v>-17.79</c:v>
                </c:pt>
                <c:pt idx="52">
                  <c:v>-17.79</c:v>
                </c:pt>
                <c:pt idx="53">
                  <c:v>-17.79</c:v>
                </c:pt>
                <c:pt idx="54">
                  <c:v>-14.68</c:v>
                </c:pt>
                <c:pt idx="55">
                  <c:v>-14.68</c:v>
                </c:pt>
                <c:pt idx="56">
                  <c:v>-14.68</c:v>
                </c:pt>
                <c:pt idx="57">
                  <c:v>-14.68</c:v>
                </c:pt>
                <c:pt idx="58">
                  <c:v>-14.68</c:v>
                </c:pt>
                <c:pt idx="59">
                  <c:v>-14.68</c:v>
                </c:pt>
                <c:pt idx="60">
                  <c:v>-14.68</c:v>
                </c:pt>
                <c:pt idx="61">
                  <c:v>-14.68</c:v>
                </c:pt>
                <c:pt idx="62">
                  <c:v>-14.68</c:v>
                </c:pt>
                <c:pt idx="63">
                  <c:v>-11.07</c:v>
                </c:pt>
                <c:pt idx="64">
                  <c:v>-11.07</c:v>
                </c:pt>
                <c:pt idx="65">
                  <c:v>-11.07</c:v>
                </c:pt>
                <c:pt idx="66">
                  <c:v>-11.07</c:v>
                </c:pt>
                <c:pt idx="67">
                  <c:v>-11.07</c:v>
                </c:pt>
                <c:pt idx="68">
                  <c:v>-11.07</c:v>
                </c:pt>
                <c:pt idx="69">
                  <c:v>-11.07</c:v>
                </c:pt>
                <c:pt idx="70">
                  <c:v>-11.07</c:v>
                </c:pt>
                <c:pt idx="71">
                  <c:v>-11.07</c:v>
                </c:pt>
                <c:pt idx="72">
                  <c:v>-7.46</c:v>
                </c:pt>
                <c:pt idx="73">
                  <c:v>-7.46</c:v>
                </c:pt>
                <c:pt idx="74">
                  <c:v>-7.46</c:v>
                </c:pt>
                <c:pt idx="75">
                  <c:v>-7.46</c:v>
                </c:pt>
                <c:pt idx="76">
                  <c:v>-7.46</c:v>
                </c:pt>
                <c:pt idx="77">
                  <c:v>-7.46</c:v>
                </c:pt>
                <c:pt idx="78">
                  <c:v>-7.46</c:v>
                </c:pt>
                <c:pt idx="79">
                  <c:v>-7.46</c:v>
                </c:pt>
                <c:pt idx="80">
                  <c:v>-7.46</c:v>
                </c:pt>
                <c:pt idx="81">
                  <c:v>-3.73</c:v>
                </c:pt>
                <c:pt idx="82">
                  <c:v>-3.73</c:v>
                </c:pt>
                <c:pt idx="83">
                  <c:v>-3.73</c:v>
                </c:pt>
                <c:pt idx="84">
                  <c:v>-3.73</c:v>
                </c:pt>
                <c:pt idx="85">
                  <c:v>-3.73</c:v>
                </c:pt>
                <c:pt idx="86">
                  <c:v>-3.73</c:v>
                </c:pt>
                <c:pt idx="87">
                  <c:v>-3.73</c:v>
                </c:pt>
                <c:pt idx="88">
                  <c:v>-3.73</c:v>
                </c:pt>
                <c:pt idx="89">
                  <c:v>-3.73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3.73</c:v>
                </c:pt>
                <c:pt idx="100">
                  <c:v>3.73</c:v>
                </c:pt>
                <c:pt idx="101">
                  <c:v>3.73</c:v>
                </c:pt>
                <c:pt idx="102">
                  <c:v>3.73</c:v>
                </c:pt>
                <c:pt idx="103">
                  <c:v>3.73</c:v>
                </c:pt>
                <c:pt idx="104">
                  <c:v>3.73</c:v>
                </c:pt>
                <c:pt idx="105">
                  <c:v>3.73</c:v>
                </c:pt>
                <c:pt idx="106">
                  <c:v>3.73</c:v>
                </c:pt>
                <c:pt idx="107">
                  <c:v>3.73</c:v>
                </c:pt>
                <c:pt idx="108">
                  <c:v>7.46</c:v>
                </c:pt>
                <c:pt idx="109">
                  <c:v>7.46</c:v>
                </c:pt>
                <c:pt idx="110">
                  <c:v>7.46</c:v>
                </c:pt>
                <c:pt idx="111">
                  <c:v>7.46</c:v>
                </c:pt>
                <c:pt idx="112">
                  <c:v>7.46</c:v>
                </c:pt>
                <c:pt idx="113">
                  <c:v>7.46</c:v>
                </c:pt>
                <c:pt idx="114">
                  <c:v>7.46</c:v>
                </c:pt>
                <c:pt idx="115">
                  <c:v>7.46</c:v>
                </c:pt>
                <c:pt idx="116">
                  <c:v>7.46</c:v>
                </c:pt>
                <c:pt idx="117">
                  <c:v>11.07</c:v>
                </c:pt>
                <c:pt idx="118">
                  <c:v>11.07</c:v>
                </c:pt>
                <c:pt idx="119">
                  <c:v>11.07</c:v>
                </c:pt>
                <c:pt idx="120">
                  <c:v>11.07</c:v>
                </c:pt>
                <c:pt idx="121">
                  <c:v>11.07</c:v>
                </c:pt>
                <c:pt idx="122">
                  <c:v>11.07</c:v>
                </c:pt>
                <c:pt idx="123">
                  <c:v>11.07</c:v>
                </c:pt>
                <c:pt idx="124">
                  <c:v>11.07</c:v>
                </c:pt>
                <c:pt idx="125">
                  <c:v>11.07</c:v>
                </c:pt>
                <c:pt idx="126">
                  <c:v>14.68</c:v>
                </c:pt>
                <c:pt idx="127">
                  <c:v>14.68</c:v>
                </c:pt>
                <c:pt idx="128">
                  <c:v>14.68</c:v>
                </c:pt>
                <c:pt idx="129">
                  <c:v>14.68</c:v>
                </c:pt>
                <c:pt idx="130">
                  <c:v>14.68</c:v>
                </c:pt>
                <c:pt idx="131">
                  <c:v>14.68</c:v>
                </c:pt>
                <c:pt idx="132">
                  <c:v>14.68</c:v>
                </c:pt>
                <c:pt idx="133">
                  <c:v>14.68</c:v>
                </c:pt>
                <c:pt idx="134">
                  <c:v>14.68</c:v>
                </c:pt>
                <c:pt idx="135">
                  <c:v>17.79</c:v>
                </c:pt>
                <c:pt idx="136">
                  <c:v>17.79</c:v>
                </c:pt>
                <c:pt idx="137">
                  <c:v>17.79</c:v>
                </c:pt>
                <c:pt idx="138">
                  <c:v>17.79</c:v>
                </c:pt>
                <c:pt idx="139">
                  <c:v>17.79</c:v>
                </c:pt>
                <c:pt idx="140">
                  <c:v>17.79</c:v>
                </c:pt>
                <c:pt idx="141">
                  <c:v>17.79</c:v>
                </c:pt>
                <c:pt idx="142">
                  <c:v>17.79</c:v>
                </c:pt>
                <c:pt idx="143">
                  <c:v>17.79</c:v>
                </c:pt>
                <c:pt idx="144">
                  <c:v>20.9</c:v>
                </c:pt>
                <c:pt idx="145">
                  <c:v>20.9</c:v>
                </c:pt>
                <c:pt idx="146">
                  <c:v>20.9</c:v>
                </c:pt>
                <c:pt idx="147">
                  <c:v>20.9</c:v>
                </c:pt>
                <c:pt idx="148">
                  <c:v>20.9</c:v>
                </c:pt>
                <c:pt idx="149">
                  <c:v>20.9</c:v>
                </c:pt>
                <c:pt idx="150">
                  <c:v>20.9</c:v>
                </c:pt>
                <c:pt idx="151">
                  <c:v>20.9</c:v>
                </c:pt>
                <c:pt idx="152">
                  <c:v>20.9</c:v>
                </c:pt>
                <c:pt idx="153">
                  <c:v>24.01</c:v>
                </c:pt>
                <c:pt idx="154">
                  <c:v>24.01</c:v>
                </c:pt>
                <c:pt idx="155">
                  <c:v>24.01</c:v>
                </c:pt>
                <c:pt idx="156">
                  <c:v>24.01</c:v>
                </c:pt>
                <c:pt idx="157">
                  <c:v>24.01</c:v>
                </c:pt>
                <c:pt idx="158">
                  <c:v>24.01</c:v>
                </c:pt>
                <c:pt idx="159">
                  <c:v>24.01</c:v>
                </c:pt>
                <c:pt idx="160">
                  <c:v>24.01</c:v>
                </c:pt>
                <c:pt idx="161">
                  <c:v>24.01</c:v>
                </c:pt>
                <c:pt idx="162">
                  <c:v>27.12</c:v>
                </c:pt>
                <c:pt idx="163">
                  <c:v>27.12</c:v>
                </c:pt>
                <c:pt idx="164">
                  <c:v>27.12</c:v>
                </c:pt>
                <c:pt idx="165">
                  <c:v>27.12</c:v>
                </c:pt>
                <c:pt idx="166">
                  <c:v>27.12</c:v>
                </c:pt>
                <c:pt idx="167">
                  <c:v>27.12</c:v>
                </c:pt>
                <c:pt idx="168">
                  <c:v>27.12</c:v>
                </c:pt>
                <c:pt idx="169">
                  <c:v>27.12</c:v>
                </c:pt>
                <c:pt idx="170">
                  <c:v>27.12</c:v>
                </c:pt>
                <c:pt idx="171">
                  <c:v>30.23</c:v>
                </c:pt>
                <c:pt idx="172">
                  <c:v>30.23</c:v>
                </c:pt>
                <c:pt idx="173">
                  <c:v>30.23</c:v>
                </c:pt>
                <c:pt idx="174">
                  <c:v>30.23</c:v>
                </c:pt>
                <c:pt idx="175">
                  <c:v>30.23</c:v>
                </c:pt>
                <c:pt idx="176">
                  <c:v>30.23</c:v>
                </c:pt>
                <c:pt idx="177">
                  <c:v>30.23</c:v>
                </c:pt>
                <c:pt idx="178">
                  <c:v>30.23</c:v>
                </c:pt>
                <c:pt idx="179">
                  <c:v>30.23</c:v>
                </c:pt>
                <c:pt idx="180">
                  <c:v>33.340000000000003</c:v>
                </c:pt>
                <c:pt idx="181">
                  <c:v>33.340000000000003</c:v>
                </c:pt>
                <c:pt idx="182">
                  <c:v>33.340000000000003</c:v>
                </c:pt>
                <c:pt idx="183">
                  <c:v>33.340000000000003</c:v>
                </c:pt>
                <c:pt idx="184">
                  <c:v>33.340000000000003</c:v>
                </c:pt>
                <c:pt idx="185">
                  <c:v>33.340000000000003</c:v>
                </c:pt>
                <c:pt idx="186">
                  <c:v>33.340000000000003</c:v>
                </c:pt>
                <c:pt idx="187">
                  <c:v>33.340000000000003</c:v>
                </c:pt>
                <c:pt idx="188">
                  <c:v>33.340000000000003</c:v>
                </c:pt>
                <c:pt idx="189">
                  <c:v>-28.146695028848022</c:v>
                </c:pt>
                <c:pt idx="190">
                  <c:v>-22.455000000000002</c:v>
                </c:pt>
                <c:pt idx="191">
                  <c:v>-14.68</c:v>
                </c:pt>
                <c:pt idx="192">
                  <c:v>-7.46</c:v>
                </c:pt>
                <c:pt idx="193">
                  <c:v>0</c:v>
                </c:pt>
                <c:pt idx="194">
                  <c:v>7.46</c:v>
                </c:pt>
                <c:pt idx="195">
                  <c:v>14.68</c:v>
                </c:pt>
                <c:pt idx="196">
                  <c:v>22.455000000000002</c:v>
                </c:pt>
                <c:pt idx="197">
                  <c:v>28.146695028848022</c:v>
                </c:pt>
                <c:pt idx="198">
                  <c:v>-25.678522628062371</c:v>
                </c:pt>
                <c:pt idx="199">
                  <c:v>-21.03</c:v>
                </c:pt>
                <c:pt idx="200">
                  <c:v>-14.68</c:v>
                </c:pt>
                <c:pt idx="201">
                  <c:v>-7.46</c:v>
                </c:pt>
                <c:pt idx="202">
                  <c:v>0</c:v>
                </c:pt>
                <c:pt idx="203">
                  <c:v>7.46</c:v>
                </c:pt>
                <c:pt idx="204">
                  <c:v>14.68</c:v>
                </c:pt>
                <c:pt idx="205">
                  <c:v>21.03</c:v>
                </c:pt>
                <c:pt idx="206">
                  <c:v>25.678522628062371</c:v>
                </c:pt>
                <c:pt idx="207">
                  <c:v>-23.128077813917198</c:v>
                </c:pt>
                <c:pt idx="208">
                  <c:v>-19.557500000000001</c:v>
                </c:pt>
                <c:pt idx="209">
                  <c:v>-14.68</c:v>
                </c:pt>
                <c:pt idx="210">
                  <c:v>-7.46</c:v>
                </c:pt>
                <c:pt idx="211">
                  <c:v>0</c:v>
                </c:pt>
                <c:pt idx="212">
                  <c:v>7.46</c:v>
                </c:pt>
                <c:pt idx="213">
                  <c:v>14.68</c:v>
                </c:pt>
                <c:pt idx="214">
                  <c:v>19.557500000000001</c:v>
                </c:pt>
                <c:pt idx="215">
                  <c:v>23.128077813917198</c:v>
                </c:pt>
                <c:pt idx="216">
                  <c:v>-20.508350967469273</c:v>
                </c:pt>
                <c:pt idx="217">
                  <c:v>-18.045000000000002</c:v>
                </c:pt>
                <c:pt idx="218">
                  <c:v>-14.68</c:v>
                </c:pt>
                <c:pt idx="219">
                  <c:v>-7.46</c:v>
                </c:pt>
                <c:pt idx="220">
                  <c:v>0</c:v>
                </c:pt>
                <c:pt idx="221">
                  <c:v>7.46</c:v>
                </c:pt>
                <c:pt idx="222">
                  <c:v>14.68</c:v>
                </c:pt>
                <c:pt idx="223">
                  <c:v>18.045000000000002</c:v>
                </c:pt>
                <c:pt idx="224">
                  <c:v>20.508350967469273</c:v>
                </c:pt>
                <c:pt idx="225">
                  <c:v>-17.832332469775359</c:v>
                </c:pt>
                <c:pt idx="226">
                  <c:v>-16.500000000000004</c:v>
                </c:pt>
                <c:pt idx="227">
                  <c:v>-14.68</c:v>
                </c:pt>
                <c:pt idx="228">
                  <c:v>-7.46</c:v>
                </c:pt>
                <c:pt idx="229">
                  <c:v>0</c:v>
                </c:pt>
                <c:pt idx="230">
                  <c:v>7.46</c:v>
                </c:pt>
                <c:pt idx="231">
                  <c:v>14.68</c:v>
                </c:pt>
                <c:pt idx="232">
                  <c:v>16.500000000000004</c:v>
                </c:pt>
                <c:pt idx="233">
                  <c:v>17.832332469775359</c:v>
                </c:pt>
                <c:pt idx="234">
                  <c:v>-28.146695028848022</c:v>
                </c:pt>
                <c:pt idx="235">
                  <c:v>-22.455000000000002</c:v>
                </c:pt>
                <c:pt idx="236">
                  <c:v>-14.68</c:v>
                </c:pt>
                <c:pt idx="237">
                  <c:v>-7.46</c:v>
                </c:pt>
                <c:pt idx="238">
                  <c:v>0</c:v>
                </c:pt>
                <c:pt idx="239">
                  <c:v>7.46</c:v>
                </c:pt>
                <c:pt idx="240">
                  <c:v>14.68</c:v>
                </c:pt>
                <c:pt idx="241">
                  <c:v>22.455000000000002</c:v>
                </c:pt>
                <c:pt idx="242">
                  <c:v>28.146695028848022</c:v>
                </c:pt>
                <c:pt idx="243">
                  <c:v>-25.678522628062371</c:v>
                </c:pt>
                <c:pt idx="244">
                  <c:v>-21.03</c:v>
                </c:pt>
                <c:pt idx="245">
                  <c:v>-14.68</c:v>
                </c:pt>
                <c:pt idx="246">
                  <c:v>-7.46</c:v>
                </c:pt>
                <c:pt idx="247">
                  <c:v>0</c:v>
                </c:pt>
                <c:pt idx="248">
                  <c:v>7.46</c:v>
                </c:pt>
                <c:pt idx="249">
                  <c:v>14.68</c:v>
                </c:pt>
                <c:pt idx="250">
                  <c:v>21.03</c:v>
                </c:pt>
                <c:pt idx="251">
                  <c:v>25.678522628062371</c:v>
                </c:pt>
                <c:pt idx="252">
                  <c:v>-23.128077813917198</c:v>
                </c:pt>
                <c:pt idx="253">
                  <c:v>-19.557500000000001</c:v>
                </c:pt>
                <c:pt idx="254">
                  <c:v>-14.68</c:v>
                </c:pt>
                <c:pt idx="255">
                  <c:v>-7.46</c:v>
                </c:pt>
                <c:pt idx="256">
                  <c:v>0</c:v>
                </c:pt>
                <c:pt idx="257">
                  <c:v>7.46</c:v>
                </c:pt>
                <c:pt idx="258">
                  <c:v>14.68</c:v>
                </c:pt>
                <c:pt idx="259">
                  <c:v>19.557500000000001</c:v>
                </c:pt>
                <c:pt idx="260">
                  <c:v>23.128077813917198</c:v>
                </c:pt>
                <c:pt idx="261">
                  <c:v>-20.508350967469273</c:v>
                </c:pt>
                <c:pt idx="262">
                  <c:v>-18.045000000000002</c:v>
                </c:pt>
                <c:pt idx="263">
                  <c:v>-14.68</c:v>
                </c:pt>
                <c:pt idx="264">
                  <c:v>-7.46</c:v>
                </c:pt>
                <c:pt idx="265">
                  <c:v>0</c:v>
                </c:pt>
                <c:pt idx="266">
                  <c:v>7.46</c:v>
                </c:pt>
                <c:pt idx="267">
                  <c:v>14.68</c:v>
                </c:pt>
                <c:pt idx="268">
                  <c:v>18.045000000000002</c:v>
                </c:pt>
                <c:pt idx="269">
                  <c:v>20.508350967469273</c:v>
                </c:pt>
                <c:pt idx="270">
                  <c:v>-17.832332469775359</c:v>
                </c:pt>
                <c:pt idx="271">
                  <c:v>-16.500000000000004</c:v>
                </c:pt>
                <c:pt idx="272">
                  <c:v>-14.68</c:v>
                </c:pt>
                <c:pt idx="273">
                  <c:v>-7.46</c:v>
                </c:pt>
                <c:pt idx="274">
                  <c:v>0</c:v>
                </c:pt>
                <c:pt idx="275">
                  <c:v>7.46</c:v>
                </c:pt>
                <c:pt idx="276">
                  <c:v>14.68</c:v>
                </c:pt>
                <c:pt idx="277">
                  <c:v>16.500000000000004</c:v>
                </c:pt>
                <c:pt idx="278">
                  <c:v>17.832332469775359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9-496A-B214-0A2222C0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80152"/>
        <c:axId val="98976192"/>
      </c:scatterChart>
      <c:valAx>
        <c:axId val="9898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92"/>
        <c:crosses val="autoZero"/>
        <c:crossBetween val="midCat"/>
      </c:valAx>
      <c:valAx>
        <c:axId val="989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80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542925</xdr:colOff>
      <xdr:row>256</xdr:row>
      <xdr:rowOff>171450</xdr:rowOff>
    </xdr:from>
    <xdr:to>
      <xdr:col>28</xdr:col>
      <xdr:colOff>542925</xdr:colOff>
      <xdr:row>271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D18EE8-12E0-450D-B530-41FDDDE20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52C3-8969-48ED-8618-5B7CA1B5B3D5}">
  <dimension ref="D3:Y499"/>
  <sheetViews>
    <sheetView topLeftCell="A408" zoomScale="30" zoomScaleNormal="30" workbookViewId="0">
      <selection activeCell="N31" sqref="N31:U499"/>
    </sheetView>
  </sheetViews>
  <sheetFormatPr defaultColWidth="11.5546875" defaultRowHeight="14.4" x14ac:dyDescent="0.3"/>
  <cols>
    <col min="5" max="5" width="4.5546875" customWidth="1"/>
    <col min="6" max="6" width="8.33203125" customWidth="1"/>
    <col min="16" max="16" width="24.109375" customWidth="1"/>
  </cols>
  <sheetData>
    <row r="3" spans="4:25" ht="15" thickBot="1" x14ac:dyDescent="0.35">
      <c r="G3" s="17">
        <v>1</v>
      </c>
      <c r="L3" s="17">
        <v>2</v>
      </c>
      <c r="M3" s="17">
        <v>3</v>
      </c>
      <c r="N3" s="17">
        <v>4</v>
      </c>
      <c r="O3" s="17">
        <v>5</v>
      </c>
      <c r="P3" s="17">
        <v>6</v>
      </c>
      <c r="Q3" s="17">
        <v>7</v>
      </c>
      <c r="R3" s="17">
        <v>8</v>
      </c>
      <c r="S3" s="17">
        <v>9</v>
      </c>
      <c r="T3" s="17">
        <v>10</v>
      </c>
      <c r="Y3" s="17">
        <v>11</v>
      </c>
    </row>
    <row r="4" spans="4:25" x14ac:dyDescent="0.3">
      <c r="G4" s="9"/>
      <c r="H4" s="10"/>
      <c r="I4" s="10"/>
      <c r="J4" s="10"/>
      <c r="K4" s="10"/>
      <c r="L4" s="10"/>
      <c r="M4" s="10"/>
      <c r="N4" s="10"/>
      <c r="O4" s="10" t="s">
        <v>0</v>
      </c>
      <c r="P4" s="10"/>
      <c r="Q4" s="10"/>
      <c r="R4" s="10"/>
      <c r="S4" s="10"/>
      <c r="T4" s="10"/>
      <c r="U4" s="10"/>
      <c r="V4" s="10"/>
      <c r="W4" s="10"/>
      <c r="X4" s="10"/>
      <c r="Y4" s="11"/>
    </row>
    <row r="5" spans="4:25" ht="15" thickBot="1" x14ac:dyDescent="0.35">
      <c r="G5" s="12">
        <v>-44.43</v>
      </c>
      <c r="H5" s="13">
        <v>-41.58</v>
      </c>
      <c r="I5" s="13">
        <v>-38.634999999999998</v>
      </c>
      <c r="J5" s="13">
        <v>-35.61</v>
      </c>
      <c r="K5" s="13">
        <v>-32.520000000000003</v>
      </c>
      <c r="L5" s="13">
        <v>-28.88</v>
      </c>
      <c r="M5" s="13">
        <v>-21.66</v>
      </c>
      <c r="N5" s="13">
        <v>-14.44</v>
      </c>
      <c r="O5" s="13">
        <v>-7.22</v>
      </c>
      <c r="P5" s="13">
        <v>0</v>
      </c>
      <c r="Q5" s="13">
        <v>7.22</v>
      </c>
      <c r="R5" s="13">
        <v>14.44</v>
      </c>
      <c r="S5" s="13">
        <v>21.66</v>
      </c>
      <c r="T5" s="13">
        <v>28.88</v>
      </c>
      <c r="U5" s="13">
        <v>32.520000000000003</v>
      </c>
      <c r="V5" s="13">
        <v>35.61</v>
      </c>
      <c r="W5" s="13">
        <v>38.634999999999998</v>
      </c>
      <c r="X5" s="13">
        <v>41.58</v>
      </c>
      <c r="Y5" s="14">
        <v>44.43</v>
      </c>
    </row>
    <row r="6" spans="4:25" x14ac:dyDescent="0.3">
      <c r="D6" s="17" t="s">
        <v>8</v>
      </c>
      <c r="E6" s="9"/>
      <c r="F6" s="11">
        <v>33.340000000000003</v>
      </c>
      <c r="G6" s="1">
        <v>1.3</v>
      </c>
      <c r="H6" s="2">
        <v>1.3</v>
      </c>
      <c r="I6" s="2">
        <v>1.3</v>
      </c>
      <c r="J6" s="2">
        <v>1.3</v>
      </c>
      <c r="K6" s="2">
        <v>1.3</v>
      </c>
      <c r="L6" s="2">
        <v>1.3</v>
      </c>
      <c r="M6" s="2">
        <v>1.3</v>
      </c>
      <c r="N6" s="2">
        <v>1.3</v>
      </c>
      <c r="O6" s="2">
        <v>1.3</v>
      </c>
      <c r="P6" s="2">
        <v>1.3</v>
      </c>
      <c r="Q6" s="2">
        <v>1.3</v>
      </c>
      <c r="R6" s="2">
        <v>1.3</v>
      </c>
      <c r="S6" s="2">
        <v>1.3</v>
      </c>
      <c r="T6" s="2">
        <v>1.3</v>
      </c>
      <c r="U6" s="2">
        <v>1.3</v>
      </c>
      <c r="V6" s="2">
        <v>1.3</v>
      </c>
      <c r="W6" s="2">
        <v>1.3</v>
      </c>
      <c r="X6" s="2">
        <v>1.3</v>
      </c>
      <c r="Y6" s="3">
        <v>1.3</v>
      </c>
    </row>
    <row r="7" spans="4:25" x14ac:dyDescent="0.3">
      <c r="E7" s="15"/>
      <c r="F7" s="16">
        <v>30.23</v>
      </c>
      <c r="G7" s="4">
        <v>1.3</v>
      </c>
      <c r="H7">
        <v>1.5</v>
      </c>
      <c r="I7">
        <v>1.65</v>
      </c>
      <c r="J7">
        <v>1.78</v>
      </c>
      <c r="K7">
        <v>1.865</v>
      </c>
      <c r="L7">
        <v>2</v>
      </c>
      <c r="M7">
        <v>2.1</v>
      </c>
      <c r="N7">
        <v>2.15</v>
      </c>
      <c r="O7">
        <v>2.1880000000000002</v>
      </c>
      <c r="P7">
        <v>2.2000000000000002</v>
      </c>
      <c r="Q7">
        <v>2.1880000000000002</v>
      </c>
      <c r="R7">
        <v>2.15</v>
      </c>
      <c r="S7">
        <v>2.1</v>
      </c>
      <c r="T7">
        <v>2</v>
      </c>
      <c r="U7">
        <v>1.865</v>
      </c>
      <c r="V7">
        <v>1.78</v>
      </c>
      <c r="W7">
        <v>1.65</v>
      </c>
      <c r="X7">
        <v>1.5</v>
      </c>
      <c r="Y7" s="5">
        <v>1.3</v>
      </c>
    </row>
    <row r="8" spans="4:25" x14ac:dyDescent="0.3">
      <c r="E8" s="15"/>
      <c r="F8" s="16">
        <v>27.12</v>
      </c>
      <c r="G8" s="4">
        <v>1.3</v>
      </c>
      <c r="H8">
        <v>1.675</v>
      </c>
      <c r="I8">
        <v>1.956</v>
      </c>
      <c r="J8">
        <v>2.2000000000000002</v>
      </c>
      <c r="K8">
        <v>2.359</v>
      </c>
      <c r="L8">
        <v>2.613</v>
      </c>
      <c r="M8">
        <v>2.8</v>
      </c>
      <c r="N8">
        <v>2.9</v>
      </c>
      <c r="O8">
        <v>2.9750000000000001</v>
      </c>
      <c r="P8">
        <v>3</v>
      </c>
      <c r="Q8">
        <v>2.9750000000000001</v>
      </c>
      <c r="R8">
        <v>2.9</v>
      </c>
      <c r="S8">
        <v>2.8</v>
      </c>
      <c r="T8">
        <v>2.613</v>
      </c>
      <c r="U8">
        <v>2.359</v>
      </c>
      <c r="V8">
        <v>2.2000000000000002</v>
      </c>
      <c r="W8">
        <v>1.956</v>
      </c>
      <c r="X8">
        <v>1.675</v>
      </c>
      <c r="Y8" s="5">
        <v>1.3</v>
      </c>
    </row>
    <row r="9" spans="4:25" x14ac:dyDescent="0.3">
      <c r="E9" s="15"/>
      <c r="F9" s="16">
        <v>24.01</v>
      </c>
      <c r="G9" s="4">
        <v>1.3</v>
      </c>
      <c r="H9">
        <v>1.8129999999999999</v>
      </c>
      <c r="I9">
        <v>2.1970000000000001</v>
      </c>
      <c r="J9">
        <v>2.5299999999999998</v>
      </c>
      <c r="K9">
        <v>2.7480000000000002</v>
      </c>
      <c r="L9">
        <v>3.0939999999999999</v>
      </c>
      <c r="M9">
        <v>3.35</v>
      </c>
      <c r="N9">
        <v>3.5</v>
      </c>
      <c r="O9">
        <v>3.613</v>
      </c>
      <c r="P9">
        <v>3.65</v>
      </c>
      <c r="Q9">
        <v>3.613</v>
      </c>
      <c r="R9">
        <v>3.5</v>
      </c>
      <c r="S9">
        <v>3.35</v>
      </c>
      <c r="T9">
        <v>3.0939999999999999</v>
      </c>
      <c r="U9">
        <v>2.7480000000000002</v>
      </c>
      <c r="V9">
        <v>2.5299999999999998</v>
      </c>
      <c r="W9">
        <v>2.1970000000000001</v>
      </c>
      <c r="X9">
        <v>1.8129999999999999</v>
      </c>
      <c r="Y9" s="5">
        <v>1.3</v>
      </c>
    </row>
    <row r="10" spans="4:25" x14ac:dyDescent="0.3">
      <c r="E10" s="15"/>
      <c r="F10" s="16">
        <v>20.9</v>
      </c>
      <c r="G10" s="4">
        <v>1.3</v>
      </c>
      <c r="H10">
        <v>1.925</v>
      </c>
      <c r="I10">
        <v>2.3940000000000001</v>
      </c>
      <c r="J10">
        <v>2.8</v>
      </c>
      <c r="K10">
        <v>3.0659999999999998</v>
      </c>
      <c r="L10">
        <v>3.488</v>
      </c>
      <c r="M10">
        <v>3.8</v>
      </c>
      <c r="N10">
        <v>4</v>
      </c>
      <c r="O10">
        <v>4.1500000000000004</v>
      </c>
      <c r="P10">
        <v>4.2</v>
      </c>
      <c r="Q10">
        <v>4.1500000000000004</v>
      </c>
      <c r="R10">
        <v>4</v>
      </c>
      <c r="S10">
        <v>3.8</v>
      </c>
      <c r="T10">
        <v>3.488</v>
      </c>
      <c r="U10">
        <v>3.0659999999999998</v>
      </c>
      <c r="V10">
        <v>2.8</v>
      </c>
      <c r="W10">
        <v>2.3940000000000001</v>
      </c>
      <c r="X10">
        <v>1.925</v>
      </c>
      <c r="Y10" s="5">
        <v>1.3</v>
      </c>
    </row>
    <row r="11" spans="4:25" x14ac:dyDescent="0.3">
      <c r="E11" s="15"/>
      <c r="F11" s="16">
        <v>17.79</v>
      </c>
      <c r="G11" s="4">
        <v>1.3</v>
      </c>
      <c r="H11">
        <v>2.0129999999999999</v>
      </c>
      <c r="I11">
        <v>2.5470000000000002</v>
      </c>
      <c r="J11">
        <v>3.01</v>
      </c>
      <c r="K11">
        <v>3.3130000000000002</v>
      </c>
      <c r="L11">
        <v>3.794</v>
      </c>
      <c r="M11">
        <v>4.1500000000000004</v>
      </c>
      <c r="N11">
        <v>4.4000000000000004</v>
      </c>
      <c r="O11">
        <v>4.5880000000000001</v>
      </c>
      <c r="P11">
        <v>4.6500000000000004</v>
      </c>
      <c r="Q11">
        <v>4.5880000000000001</v>
      </c>
      <c r="R11">
        <v>4.4000000000000004</v>
      </c>
      <c r="S11">
        <v>4.1500000000000004</v>
      </c>
      <c r="T11">
        <v>3.794</v>
      </c>
      <c r="U11">
        <v>3.3130000000000002</v>
      </c>
      <c r="V11">
        <v>3.01</v>
      </c>
      <c r="W11">
        <v>2.5470000000000002</v>
      </c>
      <c r="X11">
        <v>2.0129999999999999</v>
      </c>
      <c r="Y11" s="5">
        <v>1.3</v>
      </c>
    </row>
    <row r="12" spans="4:25" x14ac:dyDescent="0.3">
      <c r="D12" s="17" t="s">
        <v>7</v>
      </c>
      <c r="E12" s="15"/>
      <c r="F12" s="16">
        <v>14.68</v>
      </c>
      <c r="G12" s="4">
        <v>1.3</v>
      </c>
      <c r="H12">
        <v>2.08</v>
      </c>
      <c r="I12">
        <v>2.7</v>
      </c>
      <c r="J12">
        <v>3.2</v>
      </c>
      <c r="K12">
        <v>3.55</v>
      </c>
      <c r="L12">
        <v>4.0999999999999996</v>
      </c>
      <c r="M12">
        <v>4.49</v>
      </c>
      <c r="N12">
        <v>4.8099999999999996</v>
      </c>
      <c r="O12">
        <v>5.0190000000000001</v>
      </c>
      <c r="P12">
        <v>5.0890000000000004</v>
      </c>
      <c r="Q12">
        <v>5.0190000000000001</v>
      </c>
      <c r="R12">
        <v>4.8099999999999996</v>
      </c>
      <c r="S12">
        <v>4.49</v>
      </c>
      <c r="T12">
        <v>4.0999999999999996</v>
      </c>
      <c r="U12">
        <v>3.55</v>
      </c>
      <c r="V12">
        <v>3.2</v>
      </c>
      <c r="W12">
        <v>2.7</v>
      </c>
      <c r="X12">
        <v>2.08</v>
      </c>
      <c r="Y12" s="5">
        <v>1.3</v>
      </c>
    </row>
    <row r="13" spans="4:25" x14ac:dyDescent="0.3">
      <c r="E13" s="15"/>
      <c r="F13" s="16">
        <v>11.07</v>
      </c>
      <c r="G13" s="4">
        <v>1.3</v>
      </c>
      <c r="H13">
        <v>2.1469999999999998</v>
      </c>
      <c r="I13">
        <v>2.7829999999999999</v>
      </c>
      <c r="J13">
        <v>3.3330000000000002</v>
      </c>
      <c r="K13">
        <v>3.6930000000000001</v>
      </c>
      <c r="L13">
        <v>4.2649999999999997</v>
      </c>
      <c r="M13">
        <v>4.6890000000000001</v>
      </c>
      <c r="N13">
        <v>5.1219999999999999</v>
      </c>
      <c r="O13">
        <v>5.4470000000000001</v>
      </c>
      <c r="P13">
        <v>5.5549999999999997</v>
      </c>
      <c r="Q13">
        <v>5.4470000000000001</v>
      </c>
      <c r="R13">
        <v>5.1219999999999999</v>
      </c>
      <c r="S13">
        <v>4.6890000000000001</v>
      </c>
      <c r="T13">
        <v>4.2649999999999997</v>
      </c>
      <c r="U13">
        <v>3.6930000000000001</v>
      </c>
      <c r="V13">
        <v>3.3330000000000002</v>
      </c>
      <c r="W13">
        <v>2.7829999999999999</v>
      </c>
      <c r="X13">
        <v>2.1469999999999998</v>
      </c>
      <c r="Y13" s="5">
        <v>1.3</v>
      </c>
    </row>
    <row r="14" spans="4:25" x14ac:dyDescent="0.3">
      <c r="D14" s="17" t="s">
        <v>6</v>
      </c>
      <c r="E14" s="15" t="s">
        <v>1</v>
      </c>
      <c r="F14" s="16">
        <v>7.46</v>
      </c>
      <c r="G14" s="4">
        <v>1.3</v>
      </c>
      <c r="H14">
        <v>2.1880000000000002</v>
      </c>
      <c r="I14">
        <v>2.8540000000000001</v>
      </c>
      <c r="J14">
        <v>3.4319999999999999</v>
      </c>
      <c r="K14">
        <v>3.8090000000000002</v>
      </c>
      <c r="L14">
        <v>4.4089999999999998</v>
      </c>
      <c r="M14">
        <v>4.8529999999999998</v>
      </c>
      <c r="N14">
        <v>5.3710000000000004</v>
      </c>
      <c r="O14">
        <v>5.7590000000000003</v>
      </c>
      <c r="P14">
        <v>5.8879999999999999</v>
      </c>
      <c r="Q14">
        <v>5.7590000000000003</v>
      </c>
      <c r="R14">
        <v>5.3710000000000004</v>
      </c>
      <c r="S14">
        <v>4.8529999999999998</v>
      </c>
      <c r="T14">
        <v>4.4089999999999998</v>
      </c>
      <c r="U14">
        <v>3.8090000000000002</v>
      </c>
      <c r="V14">
        <v>3.4319999999999999</v>
      </c>
      <c r="W14">
        <v>2.8540000000000001</v>
      </c>
      <c r="X14">
        <v>2.1880000000000002</v>
      </c>
      <c r="Y14" s="5">
        <v>1.3</v>
      </c>
    </row>
    <row r="15" spans="4:25" x14ac:dyDescent="0.3">
      <c r="E15" s="15"/>
      <c r="F15" s="16">
        <v>3.73</v>
      </c>
      <c r="G15" s="4">
        <v>1.3</v>
      </c>
      <c r="H15">
        <v>2.214</v>
      </c>
      <c r="I15">
        <v>2.899</v>
      </c>
      <c r="J15">
        <v>3.4929999999999999</v>
      </c>
      <c r="K15">
        <v>3.8809999999999998</v>
      </c>
      <c r="L15">
        <v>4.4980000000000002</v>
      </c>
      <c r="M15">
        <v>4.9550000000000001</v>
      </c>
      <c r="N15">
        <v>5.5259999999999998</v>
      </c>
      <c r="O15">
        <v>5.9530000000000003</v>
      </c>
      <c r="P15">
        <v>6.0960000000000001</v>
      </c>
      <c r="Q15">
        <v>5.9530000000000003</v>
      </c>
      <c r="R15">
        <v>5.5259999999999998</v>
      </c>
      <c r="S15">
        <v>4.9550000000000001</v>
      </c>
      <c r="T15">
        <v>4.4980000000000002</v>
      </c>
      <c r="U15">
        <v>3.8809999999999998</v>
      </c>
      <c r="V15">
        <v>3.4929999999999999</v>
      </c>
      <c r="W15">
        <v>2.899</v>
      </c>
      <c r="X15">
        <v>2.214</v>
      </c>
      <c r="Y15" s="5">
        <v>1.3</v>
      </c>
    </row>
    <row r="16" spans="4:25" x14ac:dyDescent="0.3">
      <c r="D16" s="17" t="s">
        <v>2</v>
      </c>
      <c r="E16" s="15"/>
      <c r="F16" s="16">
        <v>0</v>
      </c>
      <c r="G16" s="4">
        <v>1.3</v>
      </c>
      <c r="H16">
        <v>2.222</v>
      </c>
      <c r="I16">
        <v>2.9140000000000001</v>
      </c>
      <c r="J16">
        <v>3.5129999999999999</v>
      </c>
      <c r="K16">
        <v>3.9049999999999998</v>
      </c>
      <c r="L16">
        <v>4.5279999999999996</v>
      </c>
      <c r="M16">
        <v>4.9889999999999999</v>
      </c>
      <c r="N16">
        <v>5.577</v>
      </c>
      <c r="O16">
        <v>6.0179999999999998</v>
      </c>
      <c r="P16">
        <v>6.165</v>
      </c>
      <c r="Q16">
        <v>6.0179999999999998</v>
      </c>
      <c r="R16">
        <v>5.577</v>
      </c>
      <c r="S16">
        <v>4.9889999999999999</v>
      </c>
      <c r="T16">
        <v>4.5279999999999996</v>
      </c>
      <c r="U16">
        <v>3.9049999999999998</v>
      </c>
      <c r="V16">
        <v>3.5129999999999999</v>
      </c>
      <c r="W16">
        <v>2.9140000000000001</v>
      </c>
      <c r="X16">
        <v>2.222</v>
      </c>
      <c r="Y16" s="5">
        <v>1.3</v>
      </c>
    </row>
    <row r="17" spans="4:25" x14ac:dyDescent="0.3">
      <c r="E17" s="15"/>
      <c r="F17" s="16">
        <v>-3.73</v>
      </c>
      <c r="G17" s="4">
        <v>1.3</v>
      </c>
      <c r="H17">
        <v>2.214</v>
      </c>
      <c r="I17">
        <v>2.899</v>
      </c>
      <c r="J17">
        <v>3.4929999999999999</v>
      </c>
      <c r="K17">
        <v>3.8809999999999998</v>
      </c>
      <c r="L17">
        <v>4.4980000000000002</v>
      </c>
      <c r="M17">
        <v>4.9550000000000001</v>
      </c>
      <c r="N17">
        <v>5.5259999999999998</v>
      </c>
      <c r="O17">
        <v>5.9530000000000003</v>
      </c>
      <c r="P17">
        <v>6.0960000000000001</v>
      </c>
      <c r="Q17">
        <v>5.9530000000000003</v>
      </c>
      <c r="R17">
        <v>5.5259999999999998</v>
      </c>
      <c r="S17">
        <v>4.9550000000000001</v>
      </c>
      <c r="T17">
        <v>4.4980000000000002</v>
      </c>
      <c r="U17">
        <v>3.8809999999999998</v>
      </c>
      <c r="V17">
        <v>3.4929999999999999</v>
      </c>
      <c r="W17">
        <v>2.899</v>
      </c>
      <c r="X17">
        <v>2.214</v>
      </c>
      <c r="Y17" s="5">
        <v>1.3</v>
      </c>
    </row>
    <row r="18" spans="4:25" x14ac:dyDescent="0.3">
      <c r="D18" s="17" t="s">
        <v>4</v>
      </c>
      <c r="E18" s="15"/>
      <c r="F18" s="16">
        <v>-7.46</v>
      </c>
      <c r="G18" s="4">
        <v>1.3</v>
      </c>
      <c r="H18">
        <v>2.1880000000000002</v>
      </c>
      <c r="I18">
        <v>2.8540000000000001</v>
      </c>
      <c r="J18">
        <v>3.4319999999999999</v>
      </c>
      <c r="K18">
        <v>3.8090000000000002</v>
      </c>
      <c r="L18">
        <v>4.4089999999999998</v>
      </c>
      <c r="M18">
        <v>4.8529999999999998</v>
      </c>
      <c r="N18">
        <v>5.3710000000000004</v>
      </c>
      <c r="O18">
        <v>5.7590000000000003</v>
      </c>
      <c r="P18">
        <v>5.8879999999999999</v>
      </c>
      <c r="Q18">
        <v>5.7590000000000003</v>
      </c>
      <c r="R18">
        <v>5.3710000000000004</v>
      </c>
      <c r="S18">
        <v>4.8529999999999998</v>
      </c>
      <c r="T18">
        <v>4.4089999999999998</v>
      </c>
      <c r="U18">
        <v>3.8090000000000002</v>
      </c>
      <c r="V18">
        <v>3.4319999999999999</v>
      </c>
      <c r="W18">
        <v>2.8540000000000001</v>
      </c>
      <c r="X18">
        <v>2.1880000000000002</v>
      </c>
      <c r="Y18" s="5">
        <v>1.3</v>
      </c>
    </row>
    <row r="19" spans="4:25" x14ac:dyDescent="0.3">
      <c r="E19" s="15"/>
      <c r="F19" s="16">
        <v>-11.07</v>
      </c>
      <c r="G19" s="4">
        <v>1.3</v>
      </c>
      <c r="H19">
        <v>2.1469999999999998</v>
      </c>
      <c r="I19">
        <v>2.7829999999999999</v>
      </c>
      <c r="J19">
        <v>3.3330000000000002</v>
      </c>
      <c r="K19">
        <v>3.6930000000000001</v>
      </c>
      <c r="L19">
        <v>4.2649999999999997</v>
      </c>
      <c r="M19">
        <v>4.6890000000000001</v>
      </c>
      <c r="N19">
        <v>5.1219999999999999</v>
      </c>
      <c r="O19">
        <v>5.4470000000000001</v>
      </c>
      <c r="P19">
        <v>5.5549999999999997</v>
      </c>
      <c r="Q19">
        <v>5.4470000000000001</v>
      </c>
      <c r="R19">
        <v>5.1219999999999999</v>
      </c>
      <c r="S19">
        <v>4.6890000000000001</v>
      </c>
      <c r="T19">
        <v>4.2649999999999997</v>
      </c>
      <c r="U19">
        <v>3.6930000000000001</v>
      </c>
      <c r="V19">
        <v>3.3330000000000002</v>
      </c>
      <c r="W19">
        <v>2.7829999999999999</v>
      </c>
      <c r="X19">
        <v>2.1469999999999998</v>
      </c>
      <c r="Y19" s="5">
        <v>1.3</v>
      </c>
    </row>
    <row r="20" spans="4:25" x14ac:dyDescent="0.3">
      <c r="D20" s="17" t="s">
        <v>5</v>
      </c>
      <c r="E20" s="15"/>
      <c r="F20" s="16">
        <v>-14.68</v>
      </c>
      <c r="G20" s="4">
        <v>1.3</v>
      </c>
      <c r="H20">
        <v>2.08</v>
      </c>
      <c r="I20">
        <v>2.7</v>
      </c>
      <c r="J20">
        <v>3.2</v>
      </c>
      <c r="K20">
        <v>3.55</v>
      </c>
      <c r="L20">
        <v>4.0999999999999996</v>
      </c>
      <c r="M20">
        <v>4.4610000000000003</v>
      </c>
      <c r="N20">
        <v>4.8099999999999996</v>
      </c>
      <c r="O20">
        <v>5.0190000000000001</v>
      </c>
      <c r="P20">
        <v>5.0890000000000004</v>
      </c>
      <c r="Q20">
        <v>5.0190000000000001</v>
      </c>
      <c r="R20">
        <v>4.8099999999999996</v>
      </c>
      <c r="S20">
        <v>4.4610000000000003</v>
      </c>
      <c r="T20">
        <v>4.0999999999999996</v>
      </c>
      <c r="U20">
        <v>3.55</v>
      </c>
      <c r="V20">
        <v>3.2</v>
      </c>
      <c r="W20">
        <v>2.7</v>
      </c>
      <c r="X20">
        <v>2.08</v>
      </c>
      <c r="Y20" s="5">
        <v>1.3</v>
      </c>
    </row>
    <row r="21" spans="4:25" x14ac:dyDescent="0.3">
      <c r="E21" s="15"/>
      <c r="F21" s="16">
        <v>-17.79</v>
      </c>
      <c r="G21" s="4">
        <v>1.3</v>
      </c>
      <c r="H21">
        <v>2.0129999999999999</v>
      </c>
      <c r="I21">
        <v>2.5470000000000002</v>
      </c>
      <c r="J21">
        <v>3.01</v>
      </c>
      <c r="K21">
        <v>3.3130000000000002</v>
      </c>
      <c r="L21">
        <v>3.794</v>
      </c>
      <c r="M21">
        <v>4.1500000000000004</v>
      </c>
      <c r="N21">
        <v>4.4000000000000004</v>
      </c>
      <c r="O21">
        <v>4.5880000000000001</v>
      </c>
      <c r="P21">
        <v>4.6500000000000004</v>
      </c>
      <c r="Q21">
        <v>4.5880000000000001</v>
      </c>
      <c r="R21">
        <v>4.4000000000000004</v>
      </c>
      <c r="S21">
        <v>4.1500000000000004</v>
      </c>
      <c r="T21">
        <v>3.794</v>
      </c>
      <c r="U21">
        <v>3.3130000000000002</v>
      </c>
      <c r="V21">
        <v>3.01</v>
      </c>
      <c r="W21">
        <v>2.5470000000000002</v>
      </c>
      <c r="X21">
        <v>2.0129999999999999</v>
      </c>
      <c r="Y21" s="5">
        <v>1.3</v>
      </c>
    </row>
    <row r="22" spans="4:25" x14ac:dyDescent="0.3">
      <c r="E22" s="15"/>
      <c r="F22" s="16">
        <v>-20.9</v>
      </c>
      <c r="G22" s="4">
        <v>1.3</v>
      </c>
      <c r="H22">
        <v>1.925</v>
      </c>
      <c r="I22">
        <v>2.3940000000000001</v>
      </c>
      <c r="J22">
        <v>2.8</v>
      </c>
      <c r="K22">
        <v>3.0659999999999998</v>
      </c>
      <c r="L22">
        <v>3.488</v>
      </c>
      <c r="M22">
        <v>3.8</v>
      </c>
      <c r="N22">
        <v>4</v>
      </c>
      <c r="O22">
        <v>4.1500000000000004</v>
      </c>
      <c r="P22">
        <v>4.2</v>
      </c>
      <c r="Q22">
        <v>4.1500000000000004</v>
      </c>
      <c r="R22">
        <v>4</v>
      </c>
      <c r="S22">
        <v>3.8</v>
      </c>
      <c r="T22">
        <v>3.488</v>
      </c>
      <c r="U22">
        <v>3.0659999999999998</v>
      </c>
      <c r="V22">
        <v>2.8</v>
      </c>
      <c r="W22">
        <v>2.3940000000000001</v>
      </c>
      <c r="X22">
        <v>1.925</v>
      </c>
      <c r="Y22" s="5">
        <v>1.3</v>
      </c>
    </row>
    <row r="23" spans="4:25" x14ac:dyDescent="0.3">
      <c r="E23" s="15"/>
      <c r="F23" s="16">
        <v>-24.01</v>
      </c>
      <c r="G23" s="4">
        <v>1.3</v>
      </c>
      <c r="H23">
        <v>1.8129999999999999</v>
      </c>
      <c r="I23">
        <v>2.1970000000000001</v>
      </c>
      <c r="J23">
        <v>2.5299999999999998</v>
      </c>
      <c r="K23">
        <v>2.7480000000000002</v>
      </c>
      <c r="L23">
        <v>3.0939999999999999</v>
      </c>
      <c r="M23">
        <v>3.35</v>
      </c>
      <c r="N23">
        <v>3.5</v>
      </c>
      <c r="O23">
        <v>3.613</v>
      </c>
      <c r="P23">
        <v>3.65</v>
      </c>
      <c r="Q23">
        <v>3.613</v>
      </c>
      <c r="R23">
        <v>3.5</v>
      </c>
      <c r="S23">
        <v>3.35</v>
      </c>
      <c r="T23">
        <v>3.0939999999999999</v>
      </c>
      <c r="U23">
        <v>2.7480000000000002</v>
      </c>
      <c r="V23">
        <v>2.5299999999999998</v>
      </c>
      <c r="W23">
        <v>2.1970000000000001</v>
      </c>
      <c r="X23">
        <v>1.8129999999999999</v>
      </c>
      <c r="Y23" s="5">
        <v>1.3</v>
      </c>
    </row>
    <row r="24" spans="4:25" x14ac:dyDescent="0.3">
      <c r="E24" s="15"/>
      <c r="F24" s="16">
        <v>-27.12</v>
      </c>
      <c r="G24" s="4">
        <v>1.3</v>
      </c>
      <c r="H24">
        <v>1.675</v>
      </c>
      <c r="I24">
        <v>1.956</v>
      </c>
      <c r="J24">
        <v>2.2000000000000002</v>
      </c>
      <c r="K24">
        <v>2.359</v>
      </c>
      <c r="L24">
        <v>2.613</v>
      </c>
      <c r="M24">
        <v>2.8</v>
      </c>
      <c r="N24">
        <v>2.9</v>
      </c>
      <c r="O24">
        <v>2.9750000000000001</v>
      </c>
      <c r="P24">
        <v>3</v>
      </c>
      <c r="Q24">
        <v>2.9750000000000001</v>
      </c>
      <c r="R24">
        <v>2.9</v>
      </c>
      <c r="S24">
        <v>2.8</v>
      </c>
      <c r="T24">
        <v>2.613</v>
      </c>
      <c r="U24">
        <v>2.359</v>
      </c>
      <c r="V24">
        <v>2.2000000000000002</v>
      </c>
      <c r="W24">
        <v>1.956</v>
      </c>
      <c r="X24">
        <v>1.675</v>
      </c>
      <c r="Y24" s="5">
        <v>1.3</v>
      </c>
    </row>
    <row r="25" spans="4:25" x14ac:dyDescent="0.3">
      <c r="E25" s="15"/>
      <c r="F25" s="16">
        <v>-30.23</v>
      </c>
      <c r="G25" s="4">
        <v>1.3</v>
      </c>
      <c r="H25">
        <v>1.5</v>
      </c>
      <c r="I25">
        <v>1.65</v>
      </c>
      <c r="J25">
        <v>1.78</v>
      </c>
      <c r="K25">
        <v>1.865</v>
      </c>
      <c r="L25">
        <v>2</v>
      </c>
      <c r="M25">
        <v>2.1</v>
      </c>
      <c r="N25">
        <v>2.15</v>
      </c>
      <c r="O25">
        <v>2.1880000000000002</v>
      </c>
      <c r="P25">
        <v>2.2000000000000002</v>
      </c>
      <c r="Q25">
        <v>2.1880000000000002</v>
      </c>
      <c r="R25">
        <v>2.15</v>
      </c>
      <c r="S25">
        <v>2.1</v>
      </c>
      <c r="T25">
        <v>2</v>
      </c>
      <c r="U25">
        <v>1.865</v>
      </c>
      <c r="V25">
        <v>1.78</v>
      </c>
      <c r="W25">
        <v>1.65</v>
      </c>
      <c r="X25">
        <v>1.5</v>
      </c>
      <c r="Y25" s="5">
        <v>1.3</v>
      </c>
    </row>
    <row r="26" spans="4:25" ht="15" thickBot="1" x14ac:dyDescent="0.35">
      <c r="D26" s="17" t="s">
        <v>3</v>
      </c>
      <c r="E26" s="12"/>
      <c r="F26" s="14">
        <v>-33.340000000000003</v>
      </c>
      <c r="G26" s="6">
        <v>1.3</v>
      </c>
      <c r="H26" s="7">
        <v>1.3</v>
      </c>
      <c r="I26" s="7">
        <v>1.3</v>
      </c>
      <c r="J26" s="7">
        <v>1.3</v>
      </c>
      <c r="K26" s="7">
        <v>1.3</v>
      </c>
      <c r="L26" s="7">
        <v>1.3</v>
      </c>
      <c r="M26" s="7">
        <v>1.3</v>
      </c>
      <c r="N26" s="7">
        <v>1.3</v>
      </c>
      <c r="O26" s="7">
        <v>1.3</v>
      </c>
      <c r="P26" s="7">
        <v>1.3</v>
      </c>
      <c r="Q26" s="7">
        <v>1.3</v>
      </c>
      <c r="R26" s="7">
        <v>1.3</v>
      </c>
      <c r="S26" s="7">
        <v>1.3</v>
      </c>
      <c r="T26" s="7">
        <v>1.3</v>
      </c>
      <c r="U26" s="7">
        <v>1.3</v>
      </c>
      <c r="V26" s="7">
        <v>1.3</v>
      </c>
      <c r="W26" s="7">
        <v>1.3</v>
      </c>
      <c r="X26" s="7">
        <v>1.3</v>
      </c>
      <c r="Y26" s="8">
        <v>1.3</v>
      </c>
    </row>
    <row r="31" spans="4:25" x14ac:dyDescent="0.3">
      <c r="G31" t="s">
        <v>9</v>
      </c>
      <c r="H31" t="s">
        <v>10</v>
      </c>
      <c r="I31" t="s">
        <v>11</v>
      </c>
      <c r="J31" t="s">
        <v>12</v>
      </c>
      <c r="N31" t="s">
        <v>9</v>
      </c>
      <c r="O31" t="s">
        <v>13</v>
      </c>
      <c r="P31" t="s">
        <v>14</v>
      </c>
      <c r="Q31" t="s">
        <v>19</v>
      </c>
      <c r="R31" t="s">
        <v>15</v>
      </c>
      <c r="S31" t="s">
        <v>16</v>
      </c>
      <c r="T31" t="s">
        <v>17</v>
      </c>
      <c r="U31" t="s">
        <v>18</v>
      </c>
    </row>
    <row r="32" spans="4:25" x14ac:dyDescent="0.3">
      <c r="G32" s="18">
        <v>1</v>
      </c>
      <c r="H32" s="19">
        <f>$L$5</f>
        <v>-28.88</v>
      </c>
      <c r="I32" s="19">
        <f t="shared" ref="I32:I40" si="0">$F$26</f>
        <v>-33.340000000000003</v>
      </c>
      <c r="J32" s="19">
        <f>L26</f>
        <v>1.3</v>
      </c>
      <c r="N32">
        <v>1</v>
      </c>
      <c r="O32" t="s">
        <v>24</v>
      </c>
      <c r="P32" t="s">
        <v>35</v>
      </c>
      <c r="Q32" t="s">
        <v>20</v>
      </c>
      <c r="R32">
        <v>174</v>
      </c>
      <c r="S32">
        <f>R32+9</f>
        <v>183</v>
      </c>
      <c r="T32">
        <f>4*0.184</f>
        <v>0.73599999999999999</v>
      </c>
      <c r="U32">
        <v>0.98499999999999999</v>
      </c>
    </row>
    <row r="33" spans="7:21" x14ac:dyDescent="0.3">
      <c r="G33" s="18">
        <v>2</v>
      </c>
      <c r="H33" s="19">
        <f>$M$5</f>
        <v>-21.66</v>
      </c>
      <c r="I33" s="19">
        <f t="shared" si="0"/>
        <v>-33.340000000000003</v>
      </c>
      <c r="J33" s="19">
        <f>M26</f>
        <v>1.3</v>
      </c>
      <c r="N33">
        <v>2</v>
      </c>
      <c r="O33" t="s">
        <v>24</v>
      </c>
      <c r="P33" t="s">
        <v>35</v>
      </c>
      <c r="Q33" t="s">
        <v>20</v>
      </c>
      <c r="R33">
        <f>S32</f>
        <v>183</v>
      </c>
      <c r="S33">
        <f>R33+9</f>
        <v>192</v>
      </c>
      <c r="T33">
        <f t="shared" ref="T33:T67" si="1">4*0.184</f>
        <v>0.73599999999999999</v>
      </c>
      <c r="U33">
        <v>0.98499999999999999</v>
      </c>
    </row>
    <row r="34" spans="7:21" x14ac:dyDescent="0.3">
      <c r="G34" s="18">
        <v>3</v>
      </c>
      <c r="H34" s="19">
        <f>$N$5</f>
        <v>-14.44</v>
      </c>
      <c r="I34" s="19">
        <f t="shared" si="0"/>
        <v>-33.340000000000003</v>
      </c>
      <c r="J34" s="19">
        <f>N26</f>
        <v>1.3</v>
      </c>
      <c r="N34">
        <v>3</v>
      </c>
      <c r="O34" t="s">
        <v>24</v>
      </c>
      <c r="P34" t="s">
        <v>35</v>
      </c>
      <c r="Q34" t="s">
        <v>20</v>
      </c>
      <c r="R34">
        <f t="shared" ref="R34:R35" si="2">S33</f>
        <v>192</v>
      </c>
      <c r="S34">
        <f t="shared" ref="S34:S35" si="3">R34+9</f>
        <v>201</v>
      </c>
      <c r="T34">
        <f t="shared" si="1"/>
        <v>0.73599999999999999</v>
      </c>
      <c r="U34">
        <v>0.98499999999999999</v>
      </c>
    </row>
    <row r="35" spans="7:21" x14ac:dyDescent="0.3">
      <c r="G35" s="18">
        <v>4</v>
      </c>
      <c r="H35" s="19">
        <f>$O$5</f>
        <v>-7.22</v>
      </c>
      <c r="I35" s="19">
        <f t="shared" si="0"/>
        <v>-33.340000000000003</v>
      </c>
      <c r="J35" s="19">
        <f>O26</f>
        <v>1.3</v>
      </c>
      <c r="N35">
        <v>4</v>
      </c>
      <c r="O35" t="s">
        <v>24</v>
      </c>
      <c r="P35" t="s">
        <v>35</v>
      </c>
      <c r="Q35" t="s">
        <v>20</v>
      </c>
      <c r="R35">
        <f t="shared" si="2"/>
        <v>201</v>
      </c>
      <c r="S35">
        <f t="shared" si="3"/>
        <v>210</v>
      </c>
      <c r="T35">
        <f t="shared" si="1"/>
        <v>0.73599999999999999</v>
      </c>
      <c r="U35">
        <v>0.98499999999999999</v>
      </c>
    </row>
    <row r="36" spans="7:21" x14ac:dyDescent="0.3">
      <c r="G36" s="18">
        <v>5</v>
      </c>
      <c r="H36" s="19">
        <f>$P$5</f>
        <v>0</v>
      </c>
      <c r="I36" s="19">
        <f t="shared" si="0"/>
        <v>-33.340000000000003</v>
      </c>
      <c r="J36" s="19">
        <f>P26</f>
        <v>1.3</v>
      </c>
      <c r="N36">
        <v>5</v>
      </c>
      <c r="O36" t="s">
        <v>24</v>
      </c>
      <c r="P36" t="s">
        <v>35</v>
      </c>
      <c r="Q36" t="s">
        <v>20</v>
      </c>
      <c r="R36">
        <f>S35</f>
        <v>210</v>
      </c>
      <c r="S36">
        <v>46</v>
      </c>
      <c r="T36">
        <f t="shared" si="1"/>
        <v>0.73599999999999999</v>
      </c>
      <c r="U36">
        <v>0.98499999999999999</v>
      </c>
    </row>
    <row r="37" spans="7:21" x14ac:dyDescent="0.3">
      <c r="G37" s="18">
        <v>6</v>
      </c>
      <c r="H37" s="19">
        <f>$Q$5</f>
        <v>7.22</v>
      </c>
      <c r="I37" s="19">
        <f t="shared" si="0"/>
        <v>-33.340000000000003</v>
      </c>
      <c r="J37" s="19">
        <f>Q26</f>
        <v>1.3</v>
      </c>
      <c r="N37">
        <v>6</v>
      </c>
      <c r="O37" t="s">
        <v>24</v>
      </c>
      <c r="P37" t="s">
        <v>35</v>
      </c>
      <c r="Q37" t="s">
        <v>20</v>
      </c>
      <c r="R37">
        <f>S36</f>
        <v>46</v>
      </c>
      <c r="S37">
        <f>R37+1</f>
        <v>47</v>
      </c>
      <c r="T37">
        <f t="shared" si="1"/>
        <v>0.73599999999999999</v>
      </c>
      <c r="U37">
        <v>0.98499999999999999</v>
      </c>
    </row>
    <row r="38" spans="7:21" x14ac:dyDescent="0.3">
      <c r="G38" s="18">
        <v>7</v>
      </c>
      <c r="H38" s="19">
        <f>$R$5</f>
        <v>14.44</v>
      </c>
      <c r="I38" s="19">
        <f t="shared" si="0"/>
        <v>-33.340000000000003</v>
      </c>
      <c r="J38" s="19">
        <f>R26</f>
        <v>1.3</v>
      </c>
      <c r="N38">
        <v>7</v>
      </c>
      <c r="O38" t="s">
        <v>24</v>
      </c>
      <c r="P38" t="s">
        <v>35</v>
      </c>
      <c r="Q38" t="s">
        <v>20</v>
      </c>
      <c r="R38">
        <f t="shared" ref="R38:R45" si="4">S37</f>
        <v>47</v>
      </c>
      <c r="S38">
        <f t="shared" ref="S38:S44" si="5">R38+1</f>
        <v>48</v>
      </c>
      <c r="T38">
        <f t="shared" si="1"/>
        <v>0.73599999999999999</v>
      </c>
      <c r="U38">
        <v>0.98499999999999999</v>
      </c>
    </row>
    <row r="39" spans="7:21" x14ac:dyDescent="0.3">
      <c r="G39" s="18">
        <v>8</v>
      </c>
      <c r="H39" s="19">
        <f>$S$5</f>
        <v>21.66</v>
      </c>
      <c r="I39" s="19">
        <f t="shared" si="0"/>
        <v>-33.340000000000003</v>
      </c>
      <c r="J39" s="19">
        <f>S26</f>
        <v>1.3</v>
      </c>
      <c r="N39">
        <v>8</v>
      </c>
      <c r="O39" t="s">
        <v>24</v>
      </c>
      <c r="P39" t="s">
        <v>35</v>
      </c>
      <c r="Q39" t="s">
        <v>20</v>
      </c>
      <c r="R39">
        <f t="shared" si="4"/>
        <v>48</v>
      </c>
      <c r="S39">
        <f t="shared" si="5"/>
        <v>49</v>
      </c>
      <c r="T39">
        <f t="shared" si="1"/>
        <v>0.73599999999999999</v>
      </c>
      <c r="U39">
        <v>0.98499999999999999</v>
      </c>
    </row>
    <row r="40" spans="7:21" x14ac:dyDescent="0.3">
      <c r="G40" s="18">
        <v>9</v>
      </c>
      <c r="H40" s="19">
        <f>$T$5</f>
        <v>28.88</v>
      </c>
      <c r="I40" s="19">
        <f t="shared" si="0"/>
        <v>-33.340000000000003</v>
      </c>
      <c r="J40" s="19">
        <f>T26</f>
        <v>1.3</v>
      </c>
      <c r="N40">
        <v>9</v>
      </c>
      <c r="O40" t="s">
        <v>24</v>
      </c>
      <c r="P40" t="s">
        <v>35</v>
      </c>
      <c r="Q40" t="s">
        <v>20</v>
      </c>
      <c r="R40">
        <f t="shared" si="4"/>
        <v>49</v>
      </c>
      <c r="S40">
        <f t="shared" si="5"/>
        <v>50</v>
      </c>
      <c r="T40">
        <f t="shared" si="1"/>
        <v>0.73599999999999999</v>
      </c>
      <c r="U40">
        <v>0.98499999999999999</v>
      </c>
    </row>
    <row r="41" spans="7:21" x14ac:dyDescent="0.3">
      <c r="G41">
        <v>10</v>
      </c>
      <c r="H41" s="20">
        <f>$L$5</f>
        <v>-28.88</v>
      </c>
      <c r="I41" s="20">
        <f>$F$25</f>
        <v>-30.23</v>
      </c>
      <c r="J41" s="20">
        <f>L25</f>
        <v>2</v>
      </c>
      <c r="N41">
        <v>10</v>
      </c>
      <c r="O41" t="s">
        <v>24</v>
      </c>
      <c r="P41" t="s">
        <v>35</v>
      </c>
      <c r="Q41" t="s">
        <v>20</v>
      </c>
      <c r="R41">
        <f t="shared" si="4"/>
        <v>50</v>
      </c>
      <c r="S41">
        <f t="shared" si="5"/>
        <v>51</v>
      </c>
      <c r="T41">
        <f t="shared" si="1"/>
        <v>0.73599999999999999</v>
      </c>
      <c r="U41">
        <v>0.98499999999999999</v>
      </c>
    </row>
    <row r="42" spans="7:21" x14ac:dyDescent="0.3">
      <c r="G42">
        <v>11</v>
      </c>
      <c r="H42" s="20">
        <f>$M$5</f>
        <v>-21.66</v>
      </c>
      <c r="I42" s="20">
        <f t="shared" ref="I42:I49" si="6">$F$25</f>
        <v>-30.23</v>
      </c>
      <c r="J42" s="20">
        <f>M25</f>
        <v>2.1</v>
      </c>
      <c r="N42">
        <v>11</v>
      </c>
      <c r="O42" t="s">
        <v>24</v>
      </c>
      <c r="P42" t="s">
        <v>35</v>
      </c>
      <c r="Q42" t="s">
        <v>20</v>
      </c>
      <c r="R42">
        <f t="shared" si="4"/>
        <v>51</v>
      </c>
      <c r="S42">
        <f t="shared" si="5"/>
        <v>52</v>
      </c>
      <c r="T42">
        <f t="shared" si="1"/>
        <v>0.73599999999999999</v>
      </c>
      <c r="U42">
        <v>0.98499999999999999</v>
      </c>
    </row>
    <row r="43" spans="7:21" x14ac:dyDescent="0.3">
      <c r="G43">
        <v>12</v>
      </c>
      <c r="H43" s="20">
        <f>$N$5</f>
        <v>-14.44</v>
      </c>
      <c r="I43" s="20">
        <f t="shared" si="6"/>
        <v>-30.23</v>
      </c>
      <c r="J43" s="20">
        <f>N25</f>
        <v>2.15</v>
      </c>
      <c r="N43">
        <v>12</v>
      </c>
      <c r="O43" t="s">
        <v>24</v>
      </c>
      <c r="P43" t="s">
        <v>35</v>
      </c>
      <c r="Q43" t="s">
        <v>20</v>
      </c>
      <c r="R43">
        <f t="shared" si="4"/>
        <v>52</v>
      </c>
      <c r="S43">
        <f t="shared" si="5"/>
        <v>53</v>
      </c>
      <c r="T43">
        <f t="shared" si="1"/>
        <v>0.73599999999999999</v>
      </c>
      <c r="U43">
        <v>0.98499999999999999</v>
      </c>
    </row>
    <row r="44" spans="7:21" x14ac:dyDescent="0.3">
      <c r="G44">
        <v>13</v>
      </c>
      <c r="H44" s="20">
        <f>$O$5</f>
        <v>-7.22</v>
      </c>
      <c r="I44" s="20">
        <f t="shared" si="6"/>
        <v>-30.23</v>
      </c>
      <c r="J44" s="20">
        <f>O25</f>
        <v>2.1880000000000002</v>
      </c>
      <c r="N44">
        <v>13</v>
      </c>
      <c r="O44" t="s">
        <v>24</v>
      </c>
      <c r="P44" t="s">
        <v>35</v>
      </c>
      <c r="Q44" t="s">
        <v>20</v>
      </c>
      <c r="R44">
        <f t="shared" si="4"/>
        <v>53</v>
      </c>
      <c r="S44">
        <f t="shared" si="5"/>
        <v>54</v>
      </c>
      <c r="T44">
        <f t="shared" si="1"/>
        <v>0.73599999999999999</v>
      </c>
      <c r="U44">
        <v>0.98499999999999999</v>
      </c>
    </row>
    <row r="45" spans="7:21" x14ac:dyDescent="0.3">
      <c r="G45">
        <v>14</v>
      </c>
      <c r="H45" s="20">
        <f>$P$5</f>
        <v>0</v>
      </c>
      <c r="I45" s="20">
        <f t="shared" si="6"/>
        <v>-30.23</v>
      </c>
      <c r="J45" s="20">
        <f>P25</f>
        <v>2.2000000000000002</v>
      </c>
      <c r="N45">
        <v>14</v>
      </c>
      <c r="O45" t="s">
        <v>24</v>
      </c>
      <c r="P45" t="s">
        <v>35</v>
      </c>
      <c r="Q45" t="s">
        <v>20</v>
      </c>
      <c r="R45">
        <f t="shared" si="4"/>
        <v>54</v>
      </c>
      <c r="S45">
        <v>255</v>
      </c>
      <c r="T45">
        <f t="shared" si="1"/>
        <v>0.73599999999999999</v>
      </c>
      <c r="U45">
        <v>0.98499999999999999</v>
      </c>
    </row>
    <row r="46" spans="7:21" x14ac:dyDescent="0.3">
      <c r="G46">
        <v>15</v>
      </c>
      <c r="H46" s="20">
        <f>$Q$5</f>
        <v>7.22</v>
      </c>
      <c r="I46" s="20">
        <f t="shared" si="6"/>
        <v>-30.23</v>
      </c>
      <c r="J46" s="20">
        <f>Q25</f>
        <v>2.1880000000000002</v>
      </c>
      <c r="N46">
        <v>15</v>
      </c>
      <c r="O46" t="s">
        <v>24</v>
      </c>
      <c r="P46" t="s">
        <v>35</v>
      </c>
      <c r="Q46" t="s">
        <v>20</v>
      </c>
      <c r="R46">
        <f>S45</f>
        <v>255</v>
      </c>
      <c r="S46">
        <f>R46-9</f>
        <v>246</v>
      </c>
      <c r="T46">
        <f t="shared" si="1"/>
        <v>0.73599999999999999</v>
      </c>
      <c r="U46">
        <v>0.98499999999999999</v>
      </c>
    </row>
    <row r="47" spans="7:21" x14ac:dyDescent="0.3">
      <c r="G47">
        <v>16</v>
      </c>
      <c r="H47" s="20">
        <f>$R$5</f>
        <v>14.44</v>
      </c>
      <c r="I47" s="20">
        <f t="shared" si="6"/>
        <v>-30.23</v>
      </c>
      <c r="J47" s="20">
        <f>R25</f>
        <v>2.15</v>
      </c>
      <c r="N47">
        <v>16</v>
      </c>
      <c r="O47" t="s">
        <v>24</v>
      </c>
      <c r="P47" t="s">
        <v>35</v>
      </c>
      <c r="Q47" t="s">
        <v>20</v>
      </c>
      <c r="R47">
        <f>S46</f>
        <v>246</v>
      </c>
      <c r="S47">
        <f t="shared" ref="S47:S49" si="7">R47-9</f>
        <v>237</v>
      </c>
      <c r="T47">
        <f t="shared" si="1"/>
        <v>0.73599999999999999</v>
      </c>
      <c r="U47">
        <v>0.98499999999999999</v>
      </c>
    </row>
    <row r="48" spans="7:21" x14ac:dyDescent="0.3">
      <c r="G48">
        <v>17</v>
      </c>
      <c r="H48" s="20">
        <f>$S$5</f>
        <v>21.66</v>
      </c>
      <c r="I48" s="20">
        <f t="shared" si="6"/>
        <v>-30.23</v>
      </c>
      <c r="J48" s="20">
        <f>S25</f>
        <v>2.1</v>
      </c>
      <c r="N48">
        <v>17</v>
      </c>
      <c r="O48" t="s">
        <v>24</v>
      </c>
      <c r="P48" t="s">
        <v>35</v>
      </c>
      <c r="Q48" t="s">
        <v>20</v>
      </c>
      <c r="R48">
        <f>S47</f>
        <v>237</v>
      </c>
      <c r="S48">
        <f t="shared" si="7"/>
        <v>228</v>
      </c>
      <c r="T48">
        <f t="shared" si="1"/>
        <v>0.73599999999999999</v>
      </c>
      <c r="U48">
        <v>0.98499999999999999</v>
      </c>
    </row>
    <row r="49" spans="7:21" x14ac:dyDescent="0.3">
      <c r="G49">
        <v>18</v>
      </c>
      <c r="H49" s="20">
        <f>$T$5</f>
        <v>28.88</v>
      </c>
      <c r="I49" s="20">
        <f t="shared" si="6"/>
        <v>-30.23</v>
      </c>
      <c r="J49" s="20">
        <f>T25</f>
        <v>2</v>
      </c>
      <c r="N49">
        <v>18</v>
      </c>
      <c r="O49" t="s">
        <v>24</v>
      </c>
      <c r="P49" t="s">
        <v>35</v>
      </c>
      <c r="Q49" t="s">
        <v>20</v>
      </c>
      <c r="R49">
        <f>S48</f>
        <v>228</v>
      </c>
      <c r="S49">
        <f t="shared" si="7"/>
        <v>219</v>
      </c>
      <c r="T49">
        <f t="shared" si="1"/>
        <v>0.73599999999999999</v>
      </c>
      <c r="U49">
        <v>0.98499999999999999</v>
      </c>
    </row>
    <row r="50" spans="7:21" x14ac:dyDescent="0.3">
      <c r="G50" s="18">
        <v>19</v>
      </c>
      <c r="H50" s="19">
        <f>$L$5</f>
        <v>-28.88</v>
      </c>
      <c r="I50" s="19">
        <f>$F$24</f>
        <v>-27.12</v>
      </c>
      <c r="J50" s="19">
        <f>L24</f>
        <v>2.613</v>
      </c>
      <c r="N50">
        <v>19</v>
      </c>
      <c r="O50" t="s">
        <v>25</v>
      </c>
      <c r="P50" t="s">
        <v>35</v>
      </c>
      <c r="Q50" t="s">
        <v>20</v>
      </c>
      <c r="R50">
        <v>178</v>
      </c>
      <c r="S50">
        <f>R50+9</f>
        <v>187</v>
      </c>
      <c r="T50">
        <f t="shared" si="1"/>
        <v>0.73599999999999999</v>
      </c>
      <c r="U50">
        <v>0.98499999999999999</v>
      </c>
    </row>
    <row r="51" spans="7:21" x14ac:dyDescent="0.3">
      <c r="G51" s="18">
        <v>20</v>
      </c>
      <c r="H51" s="19">
        <f>$M$5</f>
        <v>-21.66</v>
      </c>
      <c r="I51" s="19">
        <f t="shared" ref="I51:I58" si="8">$F$24</f>
        <v>-27.12</v>
      </c>
      <c r="J51" s="19">
        <f>M24</f>
        <v>2.8</v>
      </c>
      <c r="N51">
        <v>20</v>
      </c>
      <c r="O51" t="s">
        <v>25</v>
      </c>
      <c r="P51" t="s">
        <v>35</v>
      </c>
      <c r="Q51" t="s">
        <v>20</v>
      </c>
      <c r="R51">
        <f>S50</f>
        <v>187</v>
      </c>
      <c r="S51">
        <f>R51+9</f>
        <v>196</v>
      </c>
      <c r="T51">
        <f t="shared" si="1"/>
        <v>0.73599999999999999</v>
      </c>
      <c r="U51">
        <v>0.98499999999999999</v>
      </c>
    </row>
    <row r="52" spans="7:21" x14ac:dyDescent="0.3">
      <c r="G52" s="18">
        <v>21</v>
      </c>
      <c r="H52" s="19">
        <f>$N$5</f>
        <v>-14.44</v>
      </c>
      <c r="I52" s="19">
        <f t="shared" si="8"/>
        <v>-27.12</v>
      </c>
      <c r="J52" s="19">
        <f>N24</f>
        <v>2.9</v>
      </c>
      <c r="N52">
        <v>21</v>
      </c>
      <c r="O52" t="s">
        <v>25</v>
      </c>
      <c r="P52" t="s">
        <v>35</v>
      </c>
      <c r="Q52" t="s">
        <v>20</v>
      </c>
      <c r="R52">
        <f t="shared" ref="R52:R53" si="9">S51</f>
        <v>196</v>
      </c>
      <c r="S52">
        <f t="shared" ref="S52:S53" si="10">R52+9</f>
        <v>205</v>
      </c>
      <c r="T52">
        <f t="shared" si="1"/>
        <v>0.73599999999999999</v>
      </c>
      <c r="U52">
        <v>0.98499999999999999</v>
      </c>
    </row>
    <row r="53" spans="7:21" x14ac:dyDescent="0.3">
      <c r="G53" s="18">
        <v>22</v>
      </c>
      <c r="H53" s="19">
        <f>$O$5</f>
        <v>-7.22</v>
      </c>
      <c r="I53" s="19">
        <f t="shared" si="8"/>
        <v>-27.12</v>
      </c>
      <c r="J53" s="19">
        <f>O24</f>
        <v>2.9750000000000001</v>
      </c>
      <c r="N53">
        <v>22</v>
      </c>
      <c r="O53" t="s">
        <v>25</v>
      </c>
      <c r="P53" t="s">
        <v>35</v>
      </c>
      <c r="Q53" t="s">
        <v>20</v>
      </c>
      <c r="R53">
        <f t="shared" si="9"/>
        <v>205</v>
      </c>
      <c r="S53">
        <f t="shared" si="10"/>
        <v>214</v>
      </c>
      <c r="T53">
        <f t="shared" si="1"/>
        <v>0.73599999999999999</v>
      </c>
      <c r="U53">
        <v>0.98499999999999999</v>
      </c>
    </row>
    <row r="54" spans="7:21" x14ac:dyDescent="0.3">
      <c r="G54" s="18">
        <v>23</v>
      </c>
      <c r="H54" s="19">
        <f>$P$5</f>
        <v>0</v>
      </c>
      <c r="I54" s="19">
        <f t="shared" si="8"/>
        <v>-27.12</v>
      </c>
      <c r="J54" s="19">
        <f>P24</f>
        <v>3</v>
      </c>
      <c r="N54">
        <v>23</v>
      </c>
      <c r="O54" t="s">
        <v>25</v>
      </c>
      <c r="P54" t="s">
        <v>35</v>
      </c>
      <c r="Q54" t="s">
        <v>20</v>
      </c>
      <c r="R54">
        <f>S53</f>
        <v>214</v>
      </c>
      <c r="S54">
        <v>118</v>
      </c>
      <c r="T54">
        <f t="shared" si="1"/>
        <v>0.73599999999999999</v>
      </c>
      <c r="U54">
        <v>0.98499999999999999</v>
      </c>
    </row>
    <row r="55" spans="7:21" x14ac:dyDescent="0.3">
      <c r="G55" s="18">
        <v>24</v>
      </c>
      <c r="H55" s="19">
        <f>$Q$5</f>
        <v>7.22</v>
      </c>
      <c r="I55" s="19">
        <f t="shared" si="8"/>
        <v>-27.12</v>
      </c>
      <c r="J55" s="19">
        <f>Q24</f>
        <v>2.9750000000000001</v>
      </c>
      <c r="N55">
        <v>24</v>
      </c>
      <c r="O55" t="s">
        <v>25</v>
      </c>
      <c r="P55" t="s">
        <v>35</v>
      </c>
      <c r="Q55" t="s">
        <v>20</v>
      </c>
      <c r="R55">
        <f>S54</f>
        <v>118</v>
      </c>
      <c r="S55">
        <f>R55+1</f>
        <v>119</v>
      </c>
      <c r="T55">
        <f t="shared" si="1"/>
        <v>0.73599999999999999</v>
      </c>
      <c r="U55">
        <v>0.98499999999999999</v>
      </c>
    </row>
    <row r="56" spans="7:21" x14ac:dyDescent="0.3">
      <c r="G56" s="18">
        <v>25</v>
      </c>
      <c r="H56" s="19">
        <f>$R$5</f>
        <v>14.44</v>
      </c>
      <c r="I56" s="19">
        <f t="shared" si="8"/>
        <v>-27.12</v>
      </c>
      <c r="J56" s="19">
        <f>R24</f>
        <v>2.9</v>
      </c>
      <c r="N56">
        <v>25</v>
      </c>
      <c r="O56" t="s">
        <v>25</v>
      </c>
      <c r="P56" t="s">
        <v>35</v>
      </c>
      <c r="Q56" t="s">
        <v>20</v>
      </c>
      <c r="R56">
        <f t="shared" ref="R56:R63" si="11">S55</f>
        <v>119</v>
      </c>
      <c r="S56">
        <f t="shared" ref="S56:S62" si="12">R56+1</f>
        <v>120</v>
      </c>
      <c r="T56">
        <f t="shared" si="1"/>
        <v>0.73599999999999999</v>
      </c>
      <c r="U56">
        <v>0.98499999999999999</v>
      </c>
    </row>
    <row r="57" spans="7:21" x14ac:dyDescent="0.3">
      <c r="G57" s="18">
        <v>26</v>
      </c>
      <c r="H57" s="19">
        <f>$S$5</f>
        <v>21.66</v>
      </c>
      <c r="I57" s="19">
        <f t="shared" si="8"/>
        <v>-27.12</v>
      </c>
      <c r="J57" s="19">
        <f>S24</f>
        <v>2.8</v>
      </c>
      <c r="N57">
        <v>26</v>
      </c>
      <c r="O57" t="s">
        <v>25</v>
      </c>
      <c r="P57" t="s">
        <v>35</v>
      </c>
      <c r="Q57" t="s">
        <v>20</v>
      </c>
      <c r="R57">
        <f t="shared" si="11"/>
        <v>120</v>
      </c>
      <c r="S57">
        <f t="shared" si="12"/>
        <v>121</v>
      </c>
      <c r="T57">
        <f t="shared" si="1"/>
        <v>0.73599999999999999</v>
      </c>
      <c r="U57">
        <v>0.98499999999999999</v>
      </c>
    </row>
    <row r="58" spans="7:21" x14ac:dyDescent="0.3">
      <c r="G58" s="18">
        <v>27</v>
      </c>
      <c r="H58" s="19">
        <f>$T$5</f>
        <v>28.88</v>
      </c>
      <c r="I58" s="19">
        <f t="shared" si="8"/>
        <v>-27.12</v>
      </c>
      <c r="J58" s="19">
        <f>T24</f>
        <v>2.613</v>
      </c>
      <c r="N58">
        <v>27</v>
      </c>
      <c r="O58" t="s">
        <v>25</v>
      </c>
      <c r="P58" t="s">
        <v>35</v>
      </c>
      <c r="Q58" t="s">
        <v>20</v>
      </c>
      <c r="R58">
        <f t="shared" si="11"/>
        <v>121</v>
      </c>
      <c r="S58">
        <f t="shared" si="12"/>
        <v>122</v>
      </c>
      <c r="T58">
        <f t="shared" si="1"/>
        <v>0.73599999999999999</v>
      </c>
      <c r="U58">
        <v>0.98499999999999999</v>
      </c>
    </row>
    <row r="59" spans="7:21" x14ac:dyDescent="0.3">
      <c r="G59">
        <v>10</v>
      </c>
      <c r="H59" s="20">
        <f>$L$5</f>
        <v>-28.88</v>
      </c>
      <c r="I59" s="20">
        <f>$F$23</f>
        <v>-24.01</v>
      </c>
      <c r="J59" s="20">
        <f>L23</f>
        <v>3.0939999999999999</v>
      </c>
      <c r="N59">
        <v>28</v>
      </c>
      <c r="O59" t="s">
        <v>25</v>
      </c>
      <c r="P59" t="s">
        <v>35</v>
      </c>
      <c r="Q59" t="s">
        <v>20</v>
      </c>
      <c r="R59">
        <f t="shared" si="11"/>
        <v>122</v>
      </c>
      <c r="S59">
        <f t="shared" si="12"/>
        <v>123</v>
      </c>
      <c r="T59">
        <f t="shared" si="1"/>
        <v>0.73599999999999999</v>
      </c>
      <c r="U59">
        <v>0.98499999999999999</v>
      </c>
    </row>
    <row r="60" spans="7:21" x14ac:dyDescent="0.3">
      <c r="G60">
        <v>11</v>
      </c>
      <c r="H60" s="20">
        <f>$M$5</f>
        <v>-21.66</v>
      </c>
      <c r="I60" s="20">
        <f t="shared" ref="I60:I67" si="13">$F$23</f>
        <v>-24.01</v>
      </c>
      <c r="J60" s="20">
        <f>M23</f>
        <v>3.35</v>
      </c>
      <c r="N60">
        <v>29</v>
      </c>
      <c r="O60" t="s">
        <v>25</v>
      </c>
      <c r="P60" t="s">
        <v>35</v>
      </c>
      <c r="Q60" t="s">
        <v>20</v>
      </c>
      <c r="R60">
        <f t="shared" si="11"/>
        <v>123</v>
      </c>
      <c r="S60">
        <f t="shared" si="12"/>
        <v>124</v>
      </c>
      <c r="T60">
        <f t="shared" si="1"/>
        <v>0.73599999999999999</v>
      </c>
      <c r="U60">
        <v>0.98499999999999999</v>
      </c>
    </row>
    <row r="61" spans="7:21" x14ac:dyDescent="0.3">
      <c r="G61">
        <v>12</v>
      </c>
      <c r="H61" s="20">
        <f>$N$5</f>
        <v>-14.44</v>
      </c>
      <c r="I61" s="20">
        <f t="shared" si="13"/>
        <v>-24.01</v>
      </c>
      <c r="J61" s="20">
        <f>N23</f>
        <v>3.5</v>
      </c>
      <c r="N61">
        <v>30</v>
      </c>
      <c r="O61" t="s">
        <v>25</v>
      </c>
      <c r="P61" t="s">
        <v>35</v>
      </c>
      <c r="Q61" t="s">
        <v>20</v>
      </c>
      <c r="R61">
        <f t="shared" si="11"/>
        <v>124</v>
      </c>
      <c r="S61">
        <f t="shared" si="12"/>
        <v>125</v>
      </c>
      <c r="T61">
        <f t="shared" si="1"/>
        <v>0.73599999999999999</v>
      </c>
      <c r="U61">
        <v>0.98499999999999999</v>
      </c>
    </row>
    <row r="62" spans="7:21" x14ac:dyDescent="0.3">
      <c r="G62">
        <v>13</v>
      </c>
      <c r="H62" s="20">
        <f>$O$5</f>
        <v>-7.22</v>
      </c>
      <c r="I62" s="20">
        <f t="shared" si="13"/>
        <v>-24.01</v>
      </c>
      <c r="J62" s="20">
        <f>O23</f>
        <v>3.613</v>
      </c>
      <c r="N62">
        <v>31</v>
      </c>
      <c r="O62" t="s">
        <v>25</v>
      </c>
      <c r="P62" t="s">
        <v>35</v>
      </c>
      <c r="Q62" t="s">
        <v>20</v>
      </c>
      <c r="R62">
        <f t="shared" si="11"/>
        <v>125</v>
      </c>
      <c r="S62">
        <f t="shared" si="12"/>
        <v>126</v>
      </c>
      <c r="T62">
        <f t="shared" si="1"/>
        <v>0.73599999999999999</v>
      </c>
      <c r="U62">
        <v>0.98499999999999999</v>
      </c>
    </row>
    <row r="63" spans="7:21" x14ac:dyDescent="0.3">
      <c r="G63">
        <v>14</v>
      </c>
      <c r="H63" s="20">
        <f>$P$5</f>
        <v>0</v>
      </c>
      <c r="I63" s="20">
        <f t="shared" si="13"/>
        <v>-24.01</v>
      </c>
      <c r="J63" s="20">
        <f>P23</f>
        <v>3.65</v>
      </c>
      <c r="N63">
        <v>32</v>
      </c>
      <c r="O63" t="s">
        <v>25</v>
      </c>
      <c r="P63" t="s">
        <v>35</v>
      </c>
      <c r="Q63" t="s">
        <v>20</v>
      </c>
      <c r="R63">
        <f t="shared" si="11"/>
        <v>126</v>
      </c>
      <c r="S63">
        <v>259</v>
      </c>
      <c r="T63">
        <f t="shared" si="1"/>
        <v>0.73599999999999999</v>
      </c>
      <c r="U63">
        <v>0.98499999999999999</v>
      </c>
    </row>
    <row r="64" spans="7:21" x14ac:dyDescent="0.3">
      <c r="G64">
        <v>15</v>
      </c>
      <c r="H64" s="20">
        <f>$Q$5</f>
        <v>7.22</v>
      </c>
      <c r="I64" s="20">
        <f t="shared" si="13"/>
        <v>-24.01</v>
      </c>
      <c r="J64" s="20">
        <f>Q23</f>
        <v>3.613</v>
      </c>
      <c r="N64">
        <v>33</v>
      </c>
      <c r="O64" t="s">
        <v>25</v>
      </c>
      <c r="P64" t="s">
        <v>35</v>
      </c>
      <c r="Q64" t="s">
        <v>20</v>
      </c>
      <c r="R64">
        <f>S63</f>
        <v>259</v>
      </c>
      <c r="S64">
        <f>R64-9</f>
        <v>250</v>
      </c>
      <c r="T64">
        <f t="shared" si="1"/>
        <v>0.73599999999999999</v>
      </c>
      <c r="U64">
        <v>0.98499999999999999</v>
      </c>
    </row>
    <row r="65" spans="7:21" x14ac:dyDescent="0.3">
      <c r="G65">
        <v>16</v>
      </c>
      <c r="H65" s="20">
        <f>$R$5</f>
        <v>14.44</v>
      </c>
      <c r="I65" s="20">
        <f t="shared" si="13"/>
        <v>-24.01</v>
      </c>
      <c r="J65" s="20">
        <f>R23</f>
        <v>3.5</v>
      </c>
      <c r="N65">
        <v>34</v>
      </c>
      <c r="O65" t="s">
        <v>25</v>
      </c>
      <c r="P65" t="s">
        <v>35</v>
      </c>
      <c r="Q65" t="s">
        <v>20</v>
      </c>
      <c r="R65">
        <f>S64</f>
        <v>250</v>
      </c>
      <c r="S65">
        <f t="shared" ref="S65:S67" si="14">R65-9</f>
        <v>241</v>
      </c>
      <c r="T65">
        <f t="shared" si="1"/>
        <v>0.73599999999999999</v>
      </c>
      <c r="U65">
        <v>0.98499999999999999</v>
      </c>
    </row>
    <row r="66" spans="7:21" x14ac:dyDescent="0.3">
      <c r="G66">
        <v>17</v>
      </c>
      <c r="H66" s="20">
        <f>$S$5</f>
        <v>21.66</v>
      </c>
      <c r="I66" s="20">
        <f t="shared" si="13"/>
        <v>-24.01</v>
      </c>
      <c r="J66" s="20">
        <f>S23</f>
        <v>3.35</v>
      </c>
      <c r="N66">
        <v>35</v>
      </c>
      <c r="O66" t="s">
        <v>25</v>
      </c>
      <c r="P66" t="s">
        <v>35</v>
      </c>
      <c r="Q66" t="s">
        <v>20</v>
      </c>
      <c r="R66">
        <f>S65</f>
        <v>241</v>
      </c>
      <c r="S66">
        <f t="shared" si="14"/>
        <v>232</v>
      </c>
      <c r="T66">
        <f t="shared" si="1"/>
        <v>0.73599999999999999</v>
      </c>
      <c r="U66">
        <v>0.98499999999999999</v>
      </c>
    </row>
    <row r="67" spans="7:21" x14ac:dyDescent="0.3">
      <c r="G67">
        <v>18</v>
      </c>
      <c r="H67" s="20">
        <f>$T$5</f>
        <v>28.88</v>
      </c>
      <c r="I67" s="20">
        <f t="shared" si="13"/>
        <v>-24.01</v>
      </c>
      <c r="J67" s="20">
        <f>T23</f>
        <v>3.0939999999999999</v>
      </c>
      <c r="N67">
        <v>36</v>
      </c>
      <c r="O67" t="s">
        <v>25</v>
      </c>
      <c r="P67" t="s">
        <v>35</v>
      </c>
      <c r="Q67" t="s">
        <v>20</v>
      </c>
      <c r="R67">
        <f>S66</f>
        <v>232</v>
      </c>
      <c r="S67">
        <f t="shared" si="14"/>
        <v>223</v>
      </c>
      <c r="T67">
        <f t="shared" si="1"/>
        <v>0.73599999999999999</v>
      </c>
      <c r="U67">
        <v>0.98499999999999999</v>
      </c>
    </row>
    <row r="68" spans="7:21" x14ac:dyDescent="0.3">
      <c r="G68" s="18">
        <v>19</v>
      </c>
      <c r="H68" s="19">
        <f>$L$5</f>
        <v>-28.88</v>
      </c>
      <c r="I68" s="19">
        <f>$F$22</f>
        <v>-20.9</v>
      </c>
      <c r="J68" s="19">
        <f>L22</f>
        <v>3.488</v>
      </c>
      <c r="N68">
        <v>37</v>
      </c>
      <c r="O68" t="s">
        <v>26</v>
      </c>
      <c r="P68" t="s">
        <v>36</v>
      </c>
      <c r="Q68" t="s">
        <v>20</v>
      </c>
      <c r="R68">
        <v>1</v>
      </c>
      <c r="S68">
        <f>R68+9</f>
        <v>10</v>
      </c>
      <c r="T68">
        <f>4*0.112</f>
        <v>0.44800000000000001</v>
      </c>
      <c r="U68">
        <v>0.875</v>
      </c>
    </row>
    <row r="69" spans="7:21" x14ac:dyDescent="0.3">
      <c r="G69" s="18">
        <v>20</v>
      </c>
      <c r="H69" s="19">
        <f>$M$5</f>
        <v>-21.66</v>
      </c>
      <c r="I69" s="19">
        <f t="shared" ref="I69:I76" si="15">$F$22</f>
        <v>-20.9</v>
      </c>
      <c r="J69" s="19">
        <f>M22</f>
        <v>3.8</v>
      </c>
      <c r="N69">
        <v>38</v>
      </c>
      <c r="O69" t="s">
        <v>26</v>
      </c>
      <c r="P69" t="s">
        <v>36</v>
      </c>
      <c r="Q69" t="s">
        <v>20</v>
      </c>
      <c r="R69">
        <f>S68</f>
        <v>10</v>
      </c>
      <c r="S69">
        <f t="shared" ref="S69:S132" si="16">R69+9</f>
        <v>19</v>
      </c>
      <c r="T69">
        <f t="shared" ref="T69:T85" si="17">4*0.112</f>
        <v>0.44800000000000001</v>
      </c>
      <c r="U69">
        <v>0.875</v>
      </c>
    </row>
    <row r="70" spans="7:21" x14ac:dyDescent="0.3">
      <c r="G70" s="18">
        <v>21</v>
      </c>
      <c r="H70" s="19">
        <f>$N$5</f>
        <v>-14.44</v>
      </c>
      <c r="I70" s="19">
        <f t="shared" si="15"/>
        <v>-20.9</v>
      </c>
      <c r="J70" s="19">
        <f>N22</f>
        <v>4</v>
      </c>
      <c r="N70">
        <v>39</v>
      </c>
      <c r="O70" t="s">
        <v>26</v>
      </c>
      <c r="P70" t="s">
        <v>36</v>
      </c>
      <c r="Q70" t="s">
        <v>20</v>
      </c>
      <c r="R70">
        <f t="shared" ref="R70:R133" si="18">S69</f>
        <v>19</v>
      </c>
      <c r="S70">
        <f t="shared" si="16"/>
        <v>28</v>
      </c>
      <c r="T70">
        <f t="shared" si="17"/>
        <v>0.44800000000000001</v>
      </c>
      <c r="U70">
        <v>0.875</v>
      </c>
    </row>
    <row r="71" spans="7:21" x14ac:dyDescent="0.3">
      <c r="G71" s="18">
        <v>22</v>
      </c>
      <c r="H71" s="19">
        <f>$O$5</f>
        <v>-7.22</v>
      </c>
      <c r="I71" s="19">
        <f t="shared" si="15"/>
        <v>-20.9</v>
      </c>
      <c r="J71" s="19">
        <f>O22</f>
        <v>4.1500000000000004</v>
      </c>
      <c r="N71">
        <v>40</v>
      </c>
      <c r="O71" t="s">
        <v>26</v>
      </c>
      <c r="P71" t="s">
        <v>36</v>
      </c>
      <c r="Q71" t="s">
        <v>20</v>
      </c>
      <c r="R71">
        <f t="shared" si="18"/>
        <v>28</v>
      </c>
      <c r="S71">
        <f t="shared" si="16"/>
        <v>37</v>
      </c>
      <c r="T71">
        <f t="shared" si="17"/>
        <v>0.44800000000000001</v>
      </c>
      <c r="U71">
        <v>0.875</v>
      </c>
    </row>
    <row r="72" spans="7:21" x14ac:dyDescent="0.3">
      <c r="G72" s="18">
        <v>23</v>
      </c>
      <c r="H72" s="19">
        <f>$P$5</f>
        <v>0</v>
      </c>
      <c r="I72" s="19">
        <f t="shared" si="15"/>
        <v>-20.9</v>
      </c>
      <c r="J72" s="19">
        <f>P22</f>
        <v>4.2</v>
      </c>
      <c r="N72">
        <v>41</v>
      </c>
      <c r="O72" t="s">
        <v>26</v>
      </c>
      <c r="P72" t="s">
        <v>36</v>
      </c>
      <c r="Q72" t="s">
        <v>20</v>
      </c>
      <c r="R72">
        <f t="shared" si="18"/>
        <v>37</v>
      </c>
      <c r="S72">
        <f t="shared" si="16"/>
        <v>46</v>
      </c>
      <c r="T72">
        <f t="shared" si="17"/>
        <v>0.44800000000000001</v>
      </c>
      <c r="U72">
        <v>0.875</v>
      </c>
    </row>
    <row r="73" spans="7:21" x14ac:dyDescent="0.3">
      <c r="G73" s="18">
        <v>24</v>
      </c>
      <c r="H73" s="19">
        <f>$Q$5</f>
        <v>7.22</v>
      </c>
      <c r="I73" s="19">
        <f t="shared" si="15"/>
        <v>-20.9</v>
      </c>
      <c r="J73" s="19">
        <f>Q22</f>
        <v>4.1500000000000004</v>
      </c>
      <c r="N73">
        <v>42</v>
      </c>
      <c r="O73" t="s">
        <v>26</v>
      </c>
      <c r="P73" t="s">
        <v>36</v>
      </c>
      <c r="Q73" t="s">
        <v>20</v>
      </c>
      <c r="R73">
        <f t="shared" si="18"/>
        <v>46</v>
      </c>
      <c r="S73">
        <f t="shared" si="16"/>
        <v>55</v>
      </c>
      <c r="T73">
        <f t="shared" si="17"/>
        <v>0.44800000000000001</v>
      </c>
      <c r="U73">
        <v>0.875</v>
      </c>
    </row>
    <row r="74" spans="7:21" x14ac:dyDescent="0.3">
      <c r="G74" s="18">
        <v>25</v>
      </c>
      <c r="H74" s="19">
        <f>$R$5</f>
        <v>14.44</v>
      </c>
      <c r="I74" s="19">
        <f t="shared" si="15"/>
        <v>-20.9</v>
      </c>
      <c r="J74" s="19">
        <f>R22</f>
        <v>4</v>
      </c>
      <c r="N74">
        <v>43</v>
      </c>
      <c r="O74" t="s">
        <v>26</v>
      </c>
      <c r="P74" t="s">
        <v>36</v>
      </c>
      <c r="Q74" t="s">
        <v>20</v>
      </c>
      <c r="R74">
        <f t="shared" si="18"/>
        <v>55</v>
      </c>
      <c r="S74">
        <f t="shared" si="16"/>
        <v>64</v>
      </c>
      <c r="T74">
        <f t="shared" si="17"/>
        <v>0.44800000000000001</v>
      </c>
      <c r="U74">
        <v>0.875</v>
      </c>
    </row>
    <row r="75" spans="7:21" x14ac:dyDescent="0.3">
      <c r="G75" s="18">
        <v>26</v>
      </c>
      <c r="H75" s="19">
        <f>$S$5</f>
        <v>21.66</v>
      </c>
      <c r="I75" s="19">
        <f t="shared" si="15"/>
        <v>-20.9</v>
      </c>
      <c r="J75" s="19">
        <f>S22</f>
        <v>3.8</v>
      </c>
      <c r="N75">
        <v>44</v>
      </c>
      <c r="O75" t="s">
        <v>26</v>
      </c>
      <c r="P75" t="s">
        <v>36</v>
      </c>
      <c r="Q75" t="s">
        <v>20</v>
      </c>
      <c r="R75">
        <f t="shared" si="18"/>
        <v>64</v>
      </c>
      <c r="S75">
        <f t="shared" si="16"/>
        <v>73</v>
      </c>
      <c r="T75">
        <f t="shared" si="17"/>
        <v>0.44800000000000001</v>
      </c>
      <c r="U75">
        <v>0.875</v>
      </c>
    </row>
    <row r="76" spans="7:21" x14ac:dyDescent="0.3">
      <c r="G76" s="18">
        <v>27</v>
      </c>
      <c r="H76" s="19">
        <f>$T$5</f>
        <v>28.88</v>
      </c>
      <c r="I76" s="19">
        <f t="shared" si="15"/>
        <v>-20.9</v>
      </c>
      <c r="J76" s="19">
        <f>T22</f>
        <v>3.488</v>
      </c>
      <c r="N76">
        <v>45</v>
      </c>
      <c r="O76" t="s">
        <v>26</v>
      </c>
      <c r="P76" t="s">
        <v>36</v>
      </c>
      <c r="Q76" t="s">
        <v>20</v>
      </c>
      <c r="R76">
        <f t="shared" si="18"/>
        <v>73</v>
      </c>
      <c r="S76">
        <f t="shared" si="16"/>
        <v>82</v>
      </c>
      <c r="T76">
        <f t="shared" si="17"/>
        <v>0.44800000000000001</v>
      </c>
      <c r="U76">
        <v>0.875</v>
      </c>
    </row>
    <row r="77" spans="7:21" x14ac:dyDescent="0.3">
      <c r="G77">
        <v>28</v>
      </c>
      <c r="H77" s="20">
        <f>$L$5</f>
        <v>-28.88</v>
      </c>
      <c r="I77" s="20">
        <f>$F$21</f>
        <v>-17.79</v>
      </c>
      <c r="J77" s="20">
        <f>L21</f>
        <v>3.794</v>
      </c>
      <c r="N77">
        <v>46</v>
      </c>
      <c r="O77" t="s">
        <v>26</v>
      </c>
      <c r="P77" t="s">
        <v>36</v>
      </c>
      <c r="Q77" t="s">
        <v>20</v>
      </c>
      <c r="R77">
        <f t="shared" si="18"/>
        <v>82</v>
      </c>
      <c r="S77">
        <f t="shared" si="16"/>
        <v>91</v>
      </c>
      <c r="T77">
        <f t="shared" si="17"/>
        <v>0.44800000000000001</v>
      </c>
      <c r="U77">
        <v>0.875</v>
      </c>
    </row>
    <row r="78" spans="7:21" x14ac:dyDescent="0.3">
      <c r="G78">
        <v>29</v>
      </c>
      <c r="H78" s="20">
        <f>$M$5</f>
        <v>-21.66</v>
      </c>
      <c r="I78" s="20">
        <f t="shared" ref="I78:I85" si="19">$F$21</f>
        <v>-17.79</v>
      </c>
      <c r="J78" s="20">
        <f>M21</f>
        <v>4.1500000000000004</v>
      </c>
      <c r="N78">
        <v>47</v>
      </c>
      <c r="O78" t="s">
        <v>26</v>
      </c>
      <c r="P78" t="s">
        <v>36</v>
      </c>
      <c r="Q78" t="s">
        <v>20</v>
      </c>
      <c r="R78">
        <f t="shared" si="18"/>
        <v>91</v>
      </c>
      <c r="S78">
        <f t="shared" si="16"/>
        <v>100</v>
      </c>
      <c r="T78">
        <f t="shared" si="17"/>
        <v>0.44800000000000001</v>
      </c>
      <c r="U78">
        <v>0.875</v>
      </c>
    </row>
    <row r="79" spans="7:21" x14ac:dyDescent="0.3">
      <c r="G79">
        <v>30</v>
      </c>
      <c r="H79" s="20">
        <f>$N$5</f>
        <v>-14.44</v>
      </c>
      <c r="I79" s="20">
        <f t="shared" si="19"/>
        <v>-17.79</v>
      </c>
      <c r="J79" s="20">
        <f>N21</f>
        <v>4.4000000000000004</v>
      </c>
      <c r="N79">
        <v>48</v>
      </c>
      <c r="O79" t="s">
        <v>26</v>
      </c>
      <c r="P79" t="s">
        <v>36</v>
      </c>
      <c r="Q79" t="s">
        <v>20</v>
      </c>
      <c r="R79">
        <f t="shared" si="18"/>
        <v>100</v>
      </c>
      <c r="S79">
        <f t="shared" si="16"/>
        <v>109</v>
      </c>
      <c r="T79">
        <f t="shared" si="17"/>
        <v>0.44800000000000001</v>
      </c>
      <c r="U79">
        <v>0.875</v>
      </c>
    </row>
    <row r="80" spans="7:21" x14ac:dyDescent="0.3">
      <c r="G80">
        <v>31</v>
      </c>
      <c r="H80" s="20">
        <f>$O$5</f>
        <v>-7.22</v>
      </c>
      <c r="I80" s="20">
        <f t="shared" si="19"/>
        <v>-17.79</v>
      </c>
      <c r="J80" s="20">
        <f>O21</f>
        <v>4.5880000000000001</v>
      </c>
      <c r="N80">
        <v>49</v>
      </c>
      <c r="O80" t="s">
        <v>26</v>
      </c>
      <c r="P80" t="s">
        <v>36</v>
      </c>
      <c r="Q80" t="s">
        <v>20</v>
      </c>
      <c r="R80">
        <f t="shared" si="18"/>
        <v>109</v>
      </c>
      <c r="S80">
        <f t="shared" si="16"/>
        <v>118</v>
      </c>
      <c r="T80">
        <f t="shared" si="17"/>
        <v>0.44800000000000001</v>
      </c>
      <c r="U80">
        <v>0.875</v>
      </c>
    </row>
    <row r="81" spans="7:21" x14ac:dyDescent="0.3">
      <c r="G81">
        <v>32</v>
      </c>
      <c r="H81" s="20">
        <f>$P$5</f>
        <v>0</v>
      </c>
      <c r="I81" s="20">
        <f t="shared" si="19"/>
        <v>-17.79</v>
      </c>
      <c r="J81" s="20">
        <f>P21</f>
        <v>4.6500000000000004</v>
      </c>
      <c r="N81">
        <v>50</v>
      </c>
      <c r="O81" t="s">
        <v>26</v>
      </c>
      <c r="P81" t="s">
        <v>36</v>
      </c>
      <c r="Q81" t="s">
        <v>20</v>
      </c>
      <c r="R81">
        <f t="shared" si="18"/>
        <v>118</v>
      </c>
      <c r="S81">
        <f t="shared" si="16"/>
        <v>127</v>
      </c>
      <c r="T81">
        <f t="shared" si="17"/>
        <v>0.44800000000000001</v>
      </c>
      <c r="U81">
        <v>0.875</v>
      </c>
    </row>
    <row r="82" spans="7:21" x14ac:dyDescent="0.3">
      <c r="G82">
        <v>33</v>
      </c>
      <c r="H82" s="20">
        <f>$Q$5</f>
        <v>7.22</v>
      </c>
      <c r="I82" s="20">
        <f t="shared" si="19"/>
        <v>-17.79</v>
      </c>
      <c r="J82" s="20">
        <f>Q21</f>
        <v>4.5880000000000001</v>
      </c>
      <c r="N82">
        <v>51</v>
      </c>
      <c r="O82" t="s">
        <v>26</v>
      </c>
      <c r="P82" t="s">
        <v>36</v>
      </c>
      <c r="Q82" t="s">
        <v>20</v>
      </c>
      <c r="R82">
        <f>S81</f>
        <v>127</v>
      </c>
      <c r="S82">
        <f t="shared" si="16"/>
        <v>136</v>
      </c>
      <c r="T82">
        <f t="shared" si="17"/>
        <v>0.44800000000000001</v>
      </c>
      <c r="U82">
        <v>0.875</v>
      </c>
    </row>
    <row r="83" spans="7:21" x14ac:dyDescent="0.3">
      <c r="G83">
        <v>34</v>
      </c>
      <c r="H83" s="20">
        <f>$R$5</f>
        <v>14.44</v>
      </c>
      <c r="I83" s="20">
        <f t="shared" si="19"/>
        <v>-17.79</v>
      </c>
      <c r="J83" s="20">
        <f>R21</f>
        <v>4.4000000000000004</v>
      </c>
      <c r="N83">
        <v>52</v>
      </c>
      <c r="O83" t="s">
        <v>26</v>
      </c>
      <c r="P83" t="s">
        <v>36</v>
      </c>
      <c r="Q83" t="s">
        <v>20</v>
      </c>
      <c r="R83">
        <f t="shared" si="18"/>
        <v>136</v>
      </c>
      <c r="S83">
        <f t="shared" si="16"/>
        <v>145</v>
      </c>
      <c r="T83">
        <f t="shared" si="17"/>
        <v>0.44800000000000001</v>
      </c>
      <c r="U83">
        <v>0.875</v>
      </c>
    </row>
    <row r="84" spans="7:21" x14ac:dyDescent="0.3">
      <c r="G84">
        <v>35</v>
      </c>
      <c r="H84" s="20">
        <f>$S$5</f>
        <v>21.66</v>
      </c>
      <c r="I84" s="20">
        <f t="shared" si="19"/>
        <v>-17.79</v>
      </c>
      <c r="J84" s="20">
        <f>S21</f>
        <v>4.1500000000000004</v>
      </c>
      <c r="N84">
        <v>53</v>
      </c>
      <c r="O84" t="s">
        <v>26</v>
      </c>
      <c r="P84" t="s">
        <v>36</v>
      </c>
      <c r="Q84" t="s">
        <v>20</v>
      </c>
      <c r="R84">
        <f t="shared" si="18"/>
        <v>145</v>
      </c>
      <c r="S84">
        <f t="shared" si="16"/>
        <v>154</v>
      </c>
      <c r="T84">
        <f t="shared" si="17"/>
        <v>0.44800000000000001</v>
      </c>
      <c r="U84">
        <v>0.875</v>
      </c>
    </row>
    <row r="85" spans="7:21" x14ac:dyDescent="0.3">
      <c r="G85">
        <v>36</v>
      </c>
      <c r="H85" s="20">
        <f>$T$5</f>
        <v>28.88</v>
      </c>
      <c r="I85" s="20">
        <f t="shared" si="19"/>
        <v>-17.79</v>
      </c>
      <c r="J85" s="20">
        <f>T21</f>
        <v>3.794</v>
      </c>
      <c r="N85">
        <v>54</v>
      </c>
      <c r="O85" t="s">
        <v>26</v>
      </c>
      <c r="P85" t="s">
        <v>36</v>
      </c>
      <c r="Q85" t="s">
        <v>20</v>
      </c>
      <c r="R85">
        <f t="shared" si="18"/>
        <v>154</v>
      </c>
      <c r="S85">
        <f t="shared" si="16"/>
        <v>163</v>
      </c>
      <c r="T85">
        <f t="shared" si="17"/>
        <v>0.44800000000000001</v>
      </c>
      <c r="U85">
        <v>0.875</v>
      </c>
    </row>
    <row r="86" spans="7:21" x14ac:dyDescent="0.3">
      <c r="G86" s="18">
        <v>37</v>
      </c>
      <c r="H86" s="19">
        <f>$L$5</f>
        <v>-28.88</v>
      </c>
      <c r="I86" s="19">
        <f>$F$20</f>
        <v>-14.68</v>
      </c>
      <c r="J86" s="19">
        <f>L20</f>
        <v>4.0999999999999996</v>
      </c>
      <c r="N86">
        <v>55</v>
      </c>
      <c r="O86" t="s">
        <v>27</v>
      </c>
      <c r="P86" t="s">
        <v>36</v>
      </c>
      <c r="Q86" t="s">
        <v>20</v>
      </c>
      <c r="R86">
        <v>2</v>
      </c>
      <c r="S86">
        <f t="shared" si="16"/>
        <v>11</v>
      </c>
      <c r="T86">
        <f t="shared" ref="T86:T121" si="20">4*0.184</f>
        <v>0.73599999999999999</v>
      </c>
      <c r="U86">
        <v>0.98499999999999999</v>
      </c>
    </row>
    <row r="87" spans="7:21" x14ac:dyDescent="0.3">
      <c r="G87" s="18">
        <v>38</v>
      </c>
      <c r="H87" s="19">
        <f>$M$5</f>
        <v>-21.66</v>
      </c>
      <c r="I87" s="19">
        <f t="shared" ref="I87:I94" si="21">$F$20</f>
        <v>-14.68</v>
      </c>
      <c r="J87" s="19">
        <f>M20</f>
        <v>4.4610000000000003</v>
      </c>
      <c r="N87">
        <v>56</v>
      </c>
      <c r="O87" t="s">
        <v>27</v>
      </c>
      <c r="P87" t="s">
        <v>36</v>
      </c>
      <c r="Q87" t="s">
        <v>20</v>
      </c>
      <c r="R87">
        <f t="shared" si="18"/>
        <v>11</v>
      </c>
      <c r="S87">
        <f t="shared" si="16"/>
        <v>20</v>
      </c>
      <c r="T87">
        <f t="shared" si="20"/>
        <v>0.73599999999999999</v>
      </c>
      <c r="U87">
        <v>0.98499999999999999</v>
      </c>
    </row>
    <row r="88" spans="7:21" x14ac:dyDescent="0.3">
      <c r="G88" s="18">
        <v>39</v>
      </c>
      <c r="H88" s="19">
        <f>$N$5</f>
        <v>-14.44</v>
      </c>
      <c r="I88" s="19">
        <f t="shared" si="21"/>
        <v>-14.68</v>
      </c>
      <c r="J88" s="19">
        <f>N20</f>
        <v>4.8099999999999996</v>
      </c>
      <c r="N88">
        <v>57</v>
      </c>
      <c r="O88" t="s">
        <v>27</v>
      </c>
      <c r="P88" t="s">
        <v>36</v>
      </c>
      <c r="Q88" t="s">
        <v>20</v>
      </c>
      <c r="R88">
        <f t="shared" si="18"/>
        <v>20</v>
      </c>
      <c r="S88">
        <f t="shared" si="16"/>
        <v>29</v>
      </c>
      <c r="T88">
        <f t="shared" si="20"/>
        <v>0.73599999999999999</v>
      </c>
      <c r="U88">
        <v>0.98499999999999999</v>
      </c>
    </row>
    <row r="89" spans="7:21" x14ac:dyDescent="0.3">
      <c r="G89" s="18">
        <v>40</v>
      </c>
      <c r="H89" s="19">
        <f>$O$5</f>
        <v>-7.22</v>
      </c>
      <c r="I89" s="19">
        <f t="shared" si="21"/>
        <v>-14.68</v>
      </c>
      <c r="J89" s="19">
        <f>O20</f>
        <v>5.0190000000000001</v>
      </c>
      <c r="N89">
        <v>58</v>
      </c>
      <c r="O89" t="s">
        <v>27</v>
      </c>
      <c r="P89" t="s">
        <v>36</v>
      </c>
      <c r="Q89" t="s">
        <v>20</v>
      </c>
      <c r="R89">
        <f t="shared" si="18"/>
        <v>29</v>
      </c>
      <c r="S89">
        <f t="shared" si="16"/>
        <v>38</v>
      </c>
      <c r="T89">
        <f t="shared" si="20"/>
        <v>0.73599999999999999</v>
      </c>
      <c r="U89">
        <v>0.98499999999999999</v>
      </c>
    </row>
    <row r="90" spans="7:21" x14ac:dyDescent="0.3">
      <c r="G90" s="18">
        <v>41</v>
      </c>
      <c r="H90" s="19">
        <f>$P$5</f>
        <v>0</v>
      </c>
      <c r="I90" s="19">
        <f t="shared" si="21"/>
        <v>-14.68</v>
      </c>
      <c r="J90" s="19">
        <f>P20</f>
        <v>5.0890000000000004</v>
      </c>
      <c r="N90">
        <v>59</v>
      </c>
      <c r="O90" t="s">
        <v>27</v>
      </c>
      <c r="P90" t="s">
        <v>36</v>
      </c>
      <c r="Q90" t="s">
        <v>20</v>
      </c>
      <c r="R90">
        <f t="shared" si="18"/>
        <v>38</v>
      </c>
      <c r="S90">
        <f t="shared" si="16"/>
        <v>47</v>
      </c>
      <c r="T90">
        <f t="shared" si="20"/>
        <v>0.73599999999999999</v>
      </c>
      <c r="U90">
        <v>0.98499999999999999</v>
      </c>
    </row>
    <row r="91" spans="7:21" x14ac:dyDescent="0.3">
      <c r="G91" s="18">
        <v>42</v>
      </c>
      <c r="H91" s="19">
        <f>$Q$5</f>
        <v>7.22</v>
      </c>
      <c r="I91" s="19">
        <f t="shared" si="21"/>
        <v>-14.68</v>
      </c>
      <c r="J91" s="19">
        <f>Q20</f>
        <v>5.0190000000000001</v>
      </c>
      <c r="N91">
        <v>60</v>
      </c>
      <c r="O91" t="s">
        <v>27</v>
      </c>
      <c r="P91" t="s">
        <v>36</v>
      </c>
      <c r="Q91" t="s">
        <v>20</v>
      </c>
      <c r="R91">
        <f t="shared" si="18"/>
        <v>47</v>
      </c>
      <c r="S91">
        <f t="shared" si="16"/>
        <v>56</v>
      </c>
      <c r="T91">
        <f t="shared" si="20"/>
        <v>0.73599999999999999</v>
      </c>
      <c r="U91">
        <v>0.98499999999999999</v>
      </c>
    </row>
    <row r="92" spans="7:21" x14ac:dyDescent="0.3">
      <c r="G92" s="18">
        <v>43</v>
      </c>
      <c r="H92" s="19">
        <f>$R$5</f>
        <v>14.44</v>
      </c>
      <c r="I92" s="19">
        <f t="shared" si="21"/>
        <v>-14.68</v>
      </c>
      <c r="J92" s="19">
        <f>R20</f>
        <v>4.8099999999999996</v>
      </c>
      <c r="N92">
        <v>61</v>
      </c>
      <c r="O92" t="s">
        <v>27</v>
      </c>
      <c r="P92" t="s">
        <v>36</v>
      </c>
      <c r="Q92" t="s">
        <v>20</v>
      </c>
      <c r="R92">
        <f t="shared" si="18"/>
        <v>56</v>
      </c>
      <c r="S92">
        <f t="shared" si="16"/>
        <v>65</v>
      </c>
      <c r="T92">
        <f t="shared" si="20"/>
        <v>0.73599999999999999</v>
      </c>
      <c r="U92">
        <v>0.98499999999999999</v>
      </c>
    </row>
    <row r="93" spans="7:21" x14ac:dyDescent="0.3">
      <c r="G93" s="18">
        <v>44</v>
      </c>
      <c r="H93" s="19">
        <f>$S$5</f>
        <v>21.66</v>
      </c>
      <c r="I93" s="19">
        <f t="shared" si="21"/>
        <v>-14.68</v>
      </c>
      <c r="J93" s="19">
        <f>S20</f>
        <v>4.4610000000000003</v>
      </c>
      <c r="N93">
        <v>62</v>
      </c>
      <c r="O93" t="s">
        <v>27</v>
      </c>
      <c r="P93" t="s">
        <v>36</v>
      </c>
      <c r="Q93" t="s">
        <v>20</v>
      </c>
      <c r="R93">
        <f t="shared" si="18"/>
        <v>65</v>
      </c>
      <c r="S93">
        <f t="shared" si="16"/>
        <v>74</v>
      </c>
      <c r="T93">
        <f t="shared" si="20"/>
        <v>0.73599999999999999</v>
      </c>
      <c r="U93">
        <v>0.98499999999999999</v>
      </c>
    </row>
    <row r="94" spans="7:21" x14ac:dyDescent="0.3">
      <c r="G94" s="18">
        <v>45</v>
      </c>
      <c r="H94" s="19">
        <f>$T$5</f>
        <v>28.88</v>
      </c>
      <c r="I94" s="19">
        <f t="shared" si="21"/>
        <v>-14.68</v>
      </c>
      <c r="J94" s="19">
        <f>T20</f>
        <v>4.0999999999999996</v>
      </c>
      <c r="N94">
        <v>63</v>
      </c>
      <c r="O94" t="s">
        <v>27</v>
      </c>
      <c r="P94" t="s">
        <v>36</v>
      </c>
      <c r="Q94" t="s">
        <v>20</v>
      </c>
      <c r="R94">
        <f t="shared" si="18"/>
        <v>74</v>
      </c>
      <c r="S94">
        <f t="shared" si="16"/>
        <v>83</v>
      </c>
      <c r="T94">
        <f t="shared" si="20"/>
        <v>0.73599999999999999</v>
      </c>
      <c r="U94">
        <v>0.98499999999999999</v>
      </c>
    </row>
    <row r="95" spans="7:21" x14ac:dyDescent="0.3">
      <c r="G95">
        <v>46</v>
      </c>
      <c r="H95" s="20">
        <f>$L$5</f>
        <v>-28.88</v>
      </c>
      <c r="I95" s="20">
        <f>$F$19</f>
        <v>-11.07</v>
      </c>
      <c r="J95" s="20">
        <f>L19</f>
        <v>4.2649999999999997</v>
      </c>
      <c r="N95">
        <v>64</v>
      </c>
      <c r="O95" t="s">
        <v>27</v>
      </c>
      <c r="P95" t="s">
        <v>36</v>
      </c>
      <c r="Q95" t="s">
        <v>20</v>
      </c>
      <c r="R95">
        <f t="shared" si="18"/>
        <v>83</v>
      </c>
      <c r="S95">
        <f t="shared" si="16"/>
        <v>92</v>
      </c>
      <c r="T95">
        <f t="shared" si="20"/>
        <v>0.73599999999999999</v>
      </c>
      <c r="U95">
        <v>0.98499999999999999</v>
      </c>
    </row>
    <row r="96" spans="7:21" x14ac:dyDescent="0.3">
      <c r="G96">
        <v>47</v>
      </c>
      <c r="H96" s="20">
        <f>$M$5</f>
        <v>-21.66</v>
      </c>
      <c r="I96" s="20">
        <f t="shared" ref="I96:I103" si="22">$F$19</f>
        <v>-11.07</v>
      </c>
      <c r="J96" s="20">
        <f>M19</f>
        <v>4.6890000000000001</v>
      </c>
      <c r="N96">
        <v>65</v>
      </c>
      <c r="O96" t="s">
        <v>27</v>
      </c>
      <c r="P96" t="s">
        <v>36</v>
      </c>
      <c r="Q96" t="s">
        <v>20</v>
      </c>
      <c r="R96">
        <f t="shared" si="18"/>
        <v>92</v>
      </c>
      <c r="S96">
        <f t="shared" si="16"/>
        <v>101</v>
      </c>
      <c r="T96">
        <f t="shared" si="20"/>
        <v>0.73599999999999999</v>
      </c>
      <c r="U96">
        <v>0.98499999999999999</v>
      </c>
    </row>
    <row r="97" spans="7:21" x14ac:dyDescent="0.3">
      <c r="G97">
        <v>48</v>
      </c>
      <c r="H97" s="20">
        <f>$N$5</f>
        <v>-14.44</v>
      </c>
      <c r="I97" s="20">
        <f t="shared" si="22"/>
        <v>-11.07</v>
      </c>
      <c r="J97" s="20">
        <f>N19</f>
        <v>5.1219999999999999</v>
      </c>
      <c r="N97">
        <v>66</v>
      </c>
      <c r="O97" t="s">
        <v>27</v>
      </c>
      <c r="P97" t="s">
        <v>36</v>
      </c>
      <c r="Q97" t="s">
        <v>20</v>
      </c>
      <c r="R97">
        <f t="shared" si="18"/>
        <v>101</v>
      </c>
      <c r="S97">
        <f t="shared" si="16"/>
        <v>110</v>
      </c>
      <c r="T97">
        <f t="shared" si="20"/>
        <v>0.73599999999999999</v>
      </c>
      <c r="U97">
        <v>0.98499999999999999</v>
      </c>
    </row>
    <row r="98" spans="7:21" x14ac:dyDescent="0.3">
      <c r="G98">
        <v>49</v>
      </c>
      <c r="H98" s="20">
        <f>$O$5</f>
        <v>-7.22</v>
      </c>
      <c r="I98" s="20">
        <f t="shared" si="22"/>
        <v>-11.07</v>
      </c>
      <c r="J98" s="20">
        <f>O19</f>
        <v>5.4470000000000001</v>
      </c>
      <c r="N98">
        <v>67</v>
      </c>
      <c r="O98" t="s">
        <v>27</v>
      </c>
      <c r="P98" t="s">
        <v>36</v>
      </c>
      <c r="Q98" t="s">
        <v>20</v>
      </c>
      <c r="R98">
        <f t="shared" si="18"/>
        <v>110</v>
      </c>
      <c r="S98">
        <f t="shared" si="16"/>
        <v>119</v>
      </c>
      <c r="T98">
        <f t="shared" si="20"/>
        <v>0.73599999999999999</v>
      </c>
      <c r="U98">
        <v>0.98499999999999999</v>
      </c>
    </row>
    <row r="99" spans="7:21" x14ac:dyDescent="0.3">
      <c r="G99">
        <v>50</v>
      </c>
      <c r="H99" s="20">
        <f>$P$5</f>
        <v>0</v>
      </c>
      <c r="I99" s="20">
        <f t="shared" si="22"/>
        <v>-11.07</v>
      </c>
      <c r="J99" s="20">
        <f>P19</f>
        <v>5.5549999999999997</v>
      </c>
      <c r="N99">
        <v>68</v>
      </c>
      <c r="O99" t="s">
        <v>27</v>
      </c>
      <c r="P99" t="s">
        <v>36</v>
      </c>
      <c r="Q99" t="s">
        <v>20</v>
      </c>
      <c r="R99">
        <f t="shared" si="18"/>
        <v>119</v>
      </c>
      <c r="S99">
        <f t="shared" si="16"/>
        <v>128</v>
      </c>
      <c r="T99">
        <f t="shared" si="20"/>
        <v>0.73599999999999999</v>
      </c>
      <c r="U99">
        <v>0.98499999999999999</v>
      </c>
    </row>
    <row r="100" spans="7:21" x14ac:dyDescent="0.3">
      <c r="G100">
        <v>51</v>
      </c>
      <c r="H100" s="20">
        <f>$Q$5</f>
        <v>7.22</v>
      </c>
      <c r="I100" s="20">
        <f t="shared" si="22"/>
        <v>-11.07</v>
      </c>
      <c r="J100" s="20">
        <f>Q19</f>
        <v>5.4470000000000001</v>
      </c>
      <c r="N100">
        <v>69</v>
      </c>
      <c r="O100" t="s">
        <v>27</v>
      </c>
      <c r="P100" t="s">
        <v>36</v>
      </c>
      <c r="Q100" t="s">
        <v>20</v>
      </c>
      <c r="R100">
        <f t="shared" si="18"/>
        <v>128</v>
      </c>
      <c r="S100">
        <f t="shared" si="16"/>
        <v>137</v>
      </c>
      <c r="T100">
        <f t="shared" si="20"/>
        <v>0.73599999999999999</v>
      </c>
      <c r="U100">
        <v>0.98499999999999999</v>
      </c>
    </row>
    <row r="101" spans="7:21" x14ac:dyDescent="0.3">
      <c r="G101">
        <v>52</v>
      </c>
      <c r="H101" s="20">
        <f>$R$5</f>
        <v>14.44</v>
      </c>
      <c r="I101" s="20">
        <f t="shared" si="22"/>
        <v>-11.07</v>
      </c>
      <c r="J101" s="20">
        <f>R19</f>
        <v>5.1219999999999999</v>
      </c>
      <c r="N101">
        <v>70</v>
      </c>
      <c r="O101" t="s">
        <v>27</v>
      </c>
      <c r="P101" t="s">
        <v>36</v>
      </c>
      <c r="Q101" t="s">
        <v>20</v>
      </c>
      <c r="R101">
        <f t="shared" si="18"/>
        <v>137</v>
      </c>
      <c r="S101">
        <f t="shared" si="16"/>
        <v>146</v>
      </c>
      <c r="T101">
        <f t="shared" si="20"/>
        <v>0.73599999999999999</v>
      </c>
      <c r="U101">
        <v>0.98499999999999999</v>
      </c>
    </row>
    <row r="102" spans="7:21" x14ac:dyDescent="0.3">
      <c r="G102">
        <v>53</v>
      </c>
      <c r="H102" s="20">
        <f>$S$5</f>
        <v>21.66</v>
      </c>
      <c r="I102" s="20">
        <f t="shared" si="22"/>
        <v>-11.07</v>
      </c>
      <c r="J102" s="20">
        <f>S19</f>
        <v>4.6890000000000001</v>
      </c>
      <c r="N102">
        <v>71</v>
      </c>
      <c r="O102" t="s">
        <v>27</v>
      </c>
      <c r="P102" t="s">
        <v>36</v>
      </c>
      <c r="Q102" t="s">
        <v>20</v>
      </c>
      <c r="R102">
        <f t="shared" si="18"/>
        <v>146</v>
      </c>
      <c r="S102">
        <f t="shared" si="16"/>
        <v>155</v>
      </c>
      <c r="T102">
        <f t="shared" si="20"/>
        <v>0.73599999999999999</v>
      </c>
      <c r="U102">
        <v>0.98499999999999999</v>
      </c>
    </row>
    <row r="103" spans="7:21" x14ac:dyDescent="0.3">
      <c r="G103">
        <v>54</v>
      </c>
      <c r="H103" s="20">
        <f>$T$5</f>
        <v>28.88</v>
      </c>
      <c r="I103" s="20">
        <f t="shared" si="22"/>
        <v>-11.07</v>
      </c>
      <c r="J103" s="20">
        <f>T19</f>
        <v>4.2649999999999997</v>
      </c>
      <c r="N103">
        <v>72</v>
      </c>
      <c r="O103" t="s">
        <v>27</v>
      </c>
      <c r="P103" t="s">
        <v>36</v>
      </c>
      <c r="Q103" t="s">
        <v>20</v>
      </c>
      <c r="R103">
        <f t="shared" si="18"/>
        <v>155</v>
      </c>
      <c r="S103">
        <f t="shared" si="16"/>
        <v>164</v>
      </c>
      <c r="T103">
        <f t="shared" si="20"/>
        <v>0.73599999999999999</v>
      </c>
      <c r="U103">
        <v>0.98499999999999999</v>
      </c>
    </row>
    <row r="104" spans="7:21" x14ac:dyDescent="0.3">
      <c r="G104" s="18">
        <v>55</v>
      </c>
      <c r="H104" s="19">
        <f>$L$5</f>
        <v>-28.88</v>
      </c>
      <c r="I104" s="19">
        <f t="shared" ref="I104:I112" si="23">$F$18</f>
        <v>-7.46</v>
      </c>
      <c r="J104" s="19">
        <f>L18</f>
        <v>4.4089999999999998</v>
      </c>
      <c r="N104">
        <v>73</v>
      </c>
      <c r="O104" t="s">
        <v>29</v>
      </c>
      <c r="P104" t="s">
        <v>36</v>
      </c>
      <c r="Q104" t="s">
        <v>20</v>
      </c>
      <c r="R104">
        <v>8</v>
      </c>
      <c r="S104">
        <f t="shared" si="16"/>
        <v>17</v>
      </c>
      <c r="T104">
        <f t="shared" si="20"/>
        <v>0.73599999999999999</v>
      </c>
      <c r="U104">
        <v>0.98499999999999999</v>
      </c>
    </row>
    <row r="105" spans="7:21" x14ac:dyDescent="0.3">
      <c r="G105" s="18">
        <v>56</v>
      </c>
      <c r="H105" s="19">
        <f>$M$5</f>
        <v>-21.66</v>
      </c>
      <c r="I105" s="19">
        <f t="shared" si="23"/>
        <v>-7.46</v>
      </c>
      <c r="J105" s="19">
        <f>M18</f>
        <v>4.8529999999999998</v>
      </c>
      <c r="N105">
        <v>74</v>
      </c>
      <c r="O105" t="s">
        <v>29</v>
      </c>
      <c r="P105" t="s">
        <v>36</v>
      </c>
      <c r="Q105" t="s">
        <v>20</v>
      </c>
      <c r="R105">
        <f t="shared" si="18"/>
        <v>17</v>
      </c>
      <c r="S105">
        <f t="shared" si="16"/>
        <v>26</v>
      </c>
      <c r="T105">
        <f t="shared" si="20"/>
        <v>0.73599999999999999</v>
      </c>
      <c r="U105">
        <v>0.98499999999999999</v>
      </c>
    </row>
    <row r="106" spans="7:21" x14ac:dyDescent="0.3">
      <c r="G106" s="18">
        <v>57</v>
      </c>
      <c r="H106" s="19">
        <f>$N$5</f>
        <v>-14.44</v>
      </c>
      <c r="I106" s="19">
        <f t="shared" si="23"/>
        <v>-7.46</v>
      </c>
      <c r="J106" s="19">
        <f>N18</f>
        <v>5.3710000000000004</v>
      </c>
      <c r="N106">
        <v>75</v>
      </c>
      <c r="O106" t="s">
        <v>29</v>
      </c>
      <c r="P106" t="s">
        <v>36</v>
      </c>
      <c r="Q106" t="s">
        <v>20</v>
      </c>
      <c r="R106">
        <f t="shared" si="18"/>
        <v>26</v>
      </c>
      <c r="S106">
        <f t="shared" si="16"/>
        <v>35</v>
      </c>
      <c r="T106">
        <f t="shared" si="20"/>
        <v>0.73599999999999999</v>
      </c>
      <c r="U106">
        <v>0.98499999999999999</v>
      </c>
    </row>
    <row r="107" spans="7:21" x14ac:dyDescent="0.3">
      <c r="G107" s="18">
        <v>58</v>
      </c>
      <c r="H107" s="19">
        <f>$O$5</f>
        <v>-7.22</v>
      </c>
      <c r="I107" s="19">
        <f>$F$18</f>
        <v>-7.46</v>
      </c>
      <c r="J107" s="19">
        <f>O18</f>
        <v>5.7590000000000003</v>
      </c>
      <c r="N107">
        <v>76</v>
      </c>
      <c r="O107" t="s">
        <v>29</v>
      </c>
      <c r="P107" t="s">
        <v>36</v>
      </c>
      <c r="Q107" t="s">
        <v>20</v>
      </c>
      <c r="R107">
        <f t="shared" si="18"/>
        <v>35</v>
      </c>
      <c r="S107">
        <f t="shared" si="16"/>
        <v>44</v>
      </c>
      <c r="T107">
        <f t="shared" si="20"/>
        <v>0.73599999999999999</v>
      </c>
      <c r="U107">
        <v>0.98499999999999999</v>
      </c>
    </row>
    <row r="108" spans="7:21" x14ac:dyDescent="0.3">
      <c r="G108" s="18">
        <v>59</v>
      </c>
      <c r="H108" s="19">
        <f>$P$5</f>
        <v>0</v>
      </c>
      <c r="I108" s="19">
        <f t="shared" si="23"/>
        <v>-7.46</v>
      </c>
      <c r="J108" s="19">
        <f>P18</f>
        <v>5.8879999999999999</v>
      </c>
      <c r="N108">
        <v>77</v>
      </c>
      <c r="O108" t="s">
        <v>29</v>
      </c>
      <c r="P108" t="s">
        <v>36</v>
      </c>
      <c r="Q108" t="s">
        <v>20</v>
      </c>
      <c r="R108">
        <f t="shared" si="18"/>
        <v>44</v>
      </c>
      <c r="S108">
        <f t="shared" si="16"/>
        <v>53</v>
      </c>
      <c r="T108">
        <f t="shared" si="20"/>
        <v>0.73599999999999999</v>
      </c>
      <c r="U108">
        <v>0.98499999999999999</v>
      </c>
    </row>
    <row r="109" spans="7:21" x14ac:dyDescent="0.3">
      <c r="G109" s="18">
        <v>60</v>
      </c>
      <c r="H109" s="19">
        <f>$Q$5</f>
        <v>7.22</v>
      </c>
      <c r="I109" s="19">
        <f t="shared" si="23"/>
        <v>-7.46</v>
      </c>
      <c r="J109" s="19">
        <f>Q18</f>
        <v>5.7590000000000003</v>
      </c>
      <c r="N109">
        <v>78</v>
      </c>
      <c r="O109" t="s">
        <v>29</v>
      </c>
      <c r="P109" t="s">
        <v>36</v>
      </c>
      <c r="Q109" t="s">
        <v>20</v>
      </c>
      <c r="R109">
        <f t="shared" si="18"/>
        <v>53</v>
      </c>
      <c r="S109">
        <f t="shared" si="16"/>
        <v>62</v>
      </c>
      <c r="T109">
        <f t="shared" si="20"/>
        <v>0.73599999999999999</v>
      </c>
      <c r="U109">
        <v>0.98499999999999999</v>
      </c>
    </row>
    <row r="110" spans="7:21" x14ac:dyDescent="0.3">
      <c r="G110" s="18">
        <v>61</v>
      </c>
      <c r="H110" s="19">
        <f>$R$5</f>
        <v>14.44</v>
      </c>
      <c r="I110" s="19">
        <f t="shared" si="23"/>
        <v>-7.46</v>
      </c>
      <c r="J110" s="19">
        <f>R18</f>
        <v>5.3710000000000004</v>
      </c>
      <c r="N110">
        <v>79</v>
      </c>
      <c r="O110" t="s">
        <v>29</v>
      </c>
      <c r="P110" t="s">
        <v>36</v>
      </c>
      <c r="Q110" t="s">
        <v>20</v>
      </c>
      <c r="R110">
        <f t="shared" si="18"/>
        <v>62</v>
      </c>
      <c r="S110">
        <f t="shared" si="16"/>
        <v>71</v>
      </c>
      <c r="T110">
        <f t="shared" si="20"/>
        <v>0.73599999999999999</v>
      </c>
      <c r="U110">
        <v>0.98499999999999999</v>
      </c>
    </row>
    <row r="111" spans="7:21" x14ac:dyDescent="0.3">
      <c r="G111" s="18">
        <v>62</v>
      </c>
      <c r="H111" s="19">
        <f>$S$5</f>
        <v>21.66</v>
      </c>
      <c r="I111" s="19">
        <f t="shared" si="23"/>
        <v>-7.46</v>
      </c>
      <c r="J111" s="19">
        <f>S18</f>
        <v>4.8529999999999998</v>
      </c>
      <c r="N111">
        <v>80</v>
      </c>
      <c r="O111" t="s">
        <v>29</v>
      </c>
      <c r="P111" t="s">
        <v>36</v>
      </c>
      <c r="Q111" t="s">
        <v>20</v>
      </c>
      <c r="R111">
        <f t="shared" si="18"/>
        <v>71</v>
      </c>
      <c r="S111">
        <f t="shared" si="16"/>
        <v>80</v>
      </c>
      <c r="T111">
        <f t="shared" si="20"/>
        <v>0.73599999999999999</v>
      </c>
      <c r="U111">
        <v>0.98499999999999999</v>
      </c>
    </row>
    <row r="112" spans="7:21" x14ac:dyDescent="0.3">
      <c r="G112" s="18">
        <v>63</v>
      </c>
      <c r="H112" s="19">
        <f>$T$5</f>
        <v>28.88</v>
      </c>
      <c r="I112" s="19">
        <f t="shared" si="23"/>
        <v>-7.46</v>
      </c>
      <c r="J112" s="19">
        <f>T18</f>
        <v>4.4089999999999998</v>
      </c>
      <c r="N112">
        <v>81</v>
      </c>
      <c r="O112" t="s">
        <v>29</v>
      </c>
      <c r="P112" t="s">
        <v>36</v>
      </c>
      <c r="Q112" t="s">
        <v>20</v>
      </c>
      <c r="R112">
        <f t="shared" si="18"/>
        <v>80</v>
      </c>
      <c r="S112">
        <f t="shared" si="16"/>
        <v>89</v>
      </c>
      <c r="T112">
        <f t="shared" si="20"/>
        <v>0.73599999999999999</v>
      </c>
      <c r="U112">
        <v>0.98499999999999999</v>
      </c>
    </row>
    <row r="113" spans="7:21" x14ac:dyDescent="0.3">
      <c r="G113">
        <v>64</v>
      </c>
      <c r="H113" s="20">
        <f>$L$5</f>
        <v>-28.88</v>
      </c>
      <c r="I113" s="20">
        <f>$F$17</f>
        <v>-3.73</v>
      </c>
      <c r="J113" s="20">
        <f>L17</f>
        <v>4.4980000000000002</v>
      </c>
      <c r="N113">
        <v>82</v>
      </c>
      <c r="O113" t="s">
        <v>29</v>
      </c>
      <c r="P113" t="s">
        <v>36</v>
      </c>
      <c r="Q113" t="s">
        <v>20</v>
      </c>
      <c r="R113">
        <f t="shared" si="18"/>
        <v>89</v>
      </c>
      <c r="S113">
        <f t="shared" si="16"/>
        <v>98</v>
      </c>
      <c r="T113">
        <f t="shared" si="20"/>
        <v>0.73599999999999999</v>
      </c>
      <c r="U113">
        <v>0.98499999999999999</v>
      </c>
    </row>
    <row r="114" spans="7:21" x14ac:dyDescent="0.3">
      <c r="G114">
        <v>65</v>
      </c>
      <c r="H114" s="20">
        <f>$M$5</f>
        <v>-21.66</v>
      </c>
      <c r="I114" s="20">
        <f t="shared" ref="I114:I121" si="24">$F$17</f>
        <v>-3.73</v>
      </c>
      <c r="J114" s="20">
        <f>M17</f>
        <v>4.9550000000000001</v>
      </c>
      <c r="N114">
        <v>83</v>
      </c>
      <c r="O114" t="s">
        <v>29</v>
      </c>
      <c r="P114" t="s">
        <v>36</v>
      </c>
      <c r="Q114" t="s">
        <v>20</v>
      </c>
      <c r="R114">
        <f t="shared" si="18"/>
        <v>98</v>
      </c>
      <c r="S114">
        <f t="shared" si="16"/>
        <v>107</v>
      </c>
      <c r="T114">
        <f t="shared" si="20"/>
        <v>0.73599999999999999</v>
      </c>
      <c r="U114">
        <v>0.98499999999999999</v>
      </c>
    </row>
    <row r="115" spans="7:21" x14ac:dyDescent="0.3">
      <c r="G115">
        <v>66</v>
      </c>
      <c r="H115" s="20">
        <f>$N$5</f>
        <v>-14.44</v>
      </c>
      <c r="I115" s="20">
        <f t="shared" si="24"/>
        <v>-3.73</v>
      </c>
      <c r="J115" s="20">
        <f>N17</f>
        <v>5.5259999999999998</v>
      </c>
      <c r="N115">
        <v>84</v>
      </c>
      <c r="O115" t="s">
        <v>29</v>
      </c>
      <c r="P115" t="s">
        <v>36</v>
      </c>
      <c r="Q115" t="s">
        <v>20</v>
      </c>
      <c r="R115">
        <f t="shared" si="18"/>
        <v>107</v>
      </c>
      <c r="S115">
        <f t="shared" si="16"/>
        <v>116</v>
      </c>
      <c r="T115">
        <f t="shared" si="20"/>
        <v>0.73599999999999999</v>
      </c>
      <c r="U115">
        <v>0.98499999999999999</v>
      </c>
    </row>
    <row r="116" spans="7:21" x14ac:dyDescent="0.3">
      <c r="G116">
        <v>67</v>
      </c>
      <c r="H116" s="20">
        <f>$O$5</f>
        <v>-7.22</v>
      </c>
      <c r="I116" s="20">
        <f t="shared" si="24"/>
        <v>-3.73</v>
      </c>
      <c r="J116" s="20">
        <f>O17</f>
        <v>5.9530000000000003</v>
      </c>
      <c r="N116">
        <v>85</v>
      </c>
      <c r="O116" t="s">
        <v>29</v>
      </c>
      <c r="P116" t="s">
        <v>36</v>
      </c>
      <c r="Q116" t="s">
        <v>20</v>
      </c>
      <c r="R116">
        <f t="shared" si="18"/>
        <v>116</v>
      </c>
      <c r="S116">
        <f t="shared" si="16"/>
        <v>125</v>
      </c>
      <c r="T116">
        <f t="shared" si="20"/>
        <v>0.73599999999999999</v>
      </c>
      <c r="U116">
        <v>0.98499999999999999</v>
      </c>
    </row>
    <row r="117" spans="7:21" x14ac:dyDescent="0.3">
      <c r="G117">
        <v>68</v>
      </c>
      <c r="H117" s="20">
        <f>$P$5</f>
        <v>0</v>
      </c>
      <c r="I117" s="20">
        <f t="shared" si="24"/>
        <v>-3.73</v>
      </c>
      <c r="J117" s="20">
        <f>P17</f>
        <v>6.0960000000000001</v>
      </c>
      <c r="N117">
        <v>86</v>
      </c>
      <c r="O117" t="s">
        <v>29</v>
      </c>
      <c r="P117" t="s">
        <v>36</v>
      </c>
      <c r="Q117" t="s">
        <v>20</v>
      </c>
      <c r="R117">
        <f t="shared" si="18"/>
        <v>125</v>
      </c>
      <c r="S117">
        <f t="shared" si="16"/>
        <v>134</v>
      </c>
      <c r="T117">
        <f t="shared" si="20"/>
        <v>0.73599999999999999</v>
      </c>
      <c r="U117">
        <v>0.98499999999999999</v>
      </c>
    </row>
    <row r="118" spans="7:21" x14ac:dyDescent="0.3">
      <c r="G118">
        <v>69</v>
      </c>
      <c r="H118" s="20">
        <f>$Q$5</f>
        <v>7.22</v>
      </c>
      <c r="I118" s="20">
        <f t="shared" si="24"/>
        <v>-3.73</v>
      </c>
      <c r="J118" s="20">
        <f>Q17</f>
        <v>5.9530000000000003</v>
      </c>
      <c r="N118">
        <v>87</v>
      </c>
      <c r="O118" t="s">
        <v>29</v>
      </c>
      <c r="P118" t="s">
        <v>36</v>
      </c>
      <c r="Q118" t="s">
        <v>20</v>
      </c>
      <c r="R118">
        <f t="shared" si="18"/>
        <v>134</v>
      </c>
      <c r="S118">
        <f t="shared" si="16"/>
        <v>143</v>
      </c>
      <c r="T118">
        <f t="shared" si="20"/>
        <v>0.73599999999999999</v>
      </c>
      <c r="U118">
        <v>0.98499999999999999</v>
      </c>
    </row>
    <row r="119" spans="7:21" x14ac:dyDescent="0.3">
      <c r="G119">
        <v>70</v>
      </c>
      <c r="H119" s="20">
        <f>$R$5</f>
        <v>14.44</v>
      </c>
      <c r="I119" s="20">
        <f t="shared" si="24"/>
        <v>-3.73</v>
      </c>
      <c r="J119" s="20">
        <f>R17</f>
        <v>5.5259999999999998</v>
      </c>
      <c r="N119">
        <v>88</v>
      </c>
      <c r="O119" t="s">
        <v>29</v>
      </c>
      <c r="P119" t="s">
        <v>36</v>
      </c>
      <c r="Q119" t="s">
        <v>20</v>
      </c>
      <c r="R119">
        <f t="shared" si="18"/>
        <v>143</v>
      </c>
      <c r="S119">
        <f t="shared" si="16"/>
        <v>152</v>
      </c>
      <c r="T119">
        <f t="shared" si="20"/>
        <v>0.73599999999999999</v>
      </c>
      <c r="U119">
        <v>0.98499999999999999</v>
      </c>
    </row>
    <row r="120" spans="7:21" x14ac:dyDescent="0.3">
      <c r="G120">
        <v>71</v>
      </c>
      <c r="H120" s="20">
        <f>$S$5</f>
        <v>21.66</v>
      </c>
      <c r="I120" s="20">
        <f t="shared" si="24"/>
        <v>-3.73</v>
      </c>
      <c r="J120" s="20">
        <f>S17</f>
        <v>4.9550000000000001</v>
      </c>
      <c r="N120">
        <v>89</v>
      </c>
      <c r="O120" t="s">
        <v>29</v>
      </c>
      <c r="P120" t="s">
        <v>36</v>
      </c>
      <c r="Q120" t="s">
        <v>20</v>
      </c>
      <c r="R120">
        <f t="shared" si="18"/>
        <v>152</v>
      </c>
      <c r="S120">
        <f t="shared" si="16"/>
        <v>161</v>
      </c>
      <c r="T120">
        <f t="shared" si="20"/>
        <v>0.73599999999999999</v>
      </c>
      <c r="U120">
        <v>0.98499999999999999</v>
      </c>
    </row>
    <row r="121" spans="7:21" x14ac:dyDescent="0.3">
      <c r="G121">
        <v>72</v>
      </c>
      <c r="H121" s="20">
        <f>$T$5</f>
        <v>28.88</v>
      </c>
      <c r="I121" s="20">
        <f t="shared" si="24"/>
        <v>-3.73</v>
      </c>
      <c r="J121" s="20">
        <f>T17</f>
        <v>4.4980000000000002</v>
      </c>
      <c r="N121">
        <v>90</v>
      </c>
      <c r="O121" t="s">
        <v>29</v>
      </c>
      <c r="P121" t="s">
        <v>36</v>
      </c>
      <c r="Q121" t="s">
        <v>20</v>
      </c>
      <c r="R121">
        <f t="shared" si="18"/>
        <v>161</v>
      </c>
      <c r="S121">
        <f t="shared" si="16"/>
        <v>170</v>
      </c>
      <c r="T121">
        <f t="shared" si="20"/>
        <v>0.73599999999999999</v>
      </c>
      <c r="U121">
        <v>0.98499999999999999</v>
      </c>
    </row>
    <row r="122" spans="7:21" x14ac:dyDescent="0.3">
      <c r="G122" s="18">
        <v>73</v>
      </c>
      <c r="H122" s="19">
        <f>$L$5</f>
        <v>-28.88</v>
      </c>
      <c r="I122" s="19">
        <f>$F$16</f>
        <v>0</v>
      </c>
      <c r="J122" s="19">
        <f>L16</f>
        <v>4.5279999999999996</v>
      </c>
      <c r="N122">
        <v>91</v>
      </c>
      <c r="O122" t="s">
        <v>30</v>
      </c>
      <c r="P122" t="s">
        <v>36</v>
      </c>
      <c r="Q122" t="s">
        <v>20</v>
      </c>
      <c r="R122">
        <v>9</v>
      </c>
      <c r="S122">
        <f t="shared" si="16"/>
        <v>18</v>
      </c>
      <c r="T122">
        <f t="shared" ref="T122:T139" si="25">4*0.112</f>
        <v>0.44800000000000001</v>
      </c>
      <c r="U122">
        <v>0.875</v>
      </c>
    </row>
    <row r="123" spans="7:21" x14ac:dyDescent="0.3">
      <c r="G123" s="18">
        <v>74</v>
      </c>
      <c r="H123" s="19">
        <f>$M$5</f>
        <v>-21.66</v>
      </c>
      <c r="I123" s="19">
        <f t="shared" ref="I123:I130" si="26">$F$16</f>
        <v>0</v>
      </c>
      <c r="J123" s="19">
        <f>M16</f>
        <v>4.9889999999999999</v>
      </c>
      <c r="N123">
        <v>92</v>
      </c>
      <c r="O123" t="s">
        <v>30</v>
      </c>
      <c r="P123" t="s">
        <v>36</v>
      </c>
      <c r="Q123" t="s">
        <v>20</v>
      </c>
      <c r="R123">
        <f t="shared" si="18"/>
        <v>18</v>
      </c>
      <c r="S123">
        <f t="shared" si="16"/>
        <v>27</v>
      </c>
      <c r="T123">
        <f t="shared" si="25"/>
        <v>0.44800000000000001</v>
      </c>
      <c r="U123">
        <v>0.875</v>
      </c>
    </row>
    <row r="124" spans="7:21" x14ac:dyDescent="0.3">
      <c r="G124" s="18">
        <v>75</v>
      </c>
      <c r="H124" s="19">
        <f>$N$5</f>
        <v>-14.44</v>
      </c>
      <c r="I124" s="19">
        <f t="shared" si="26"/>
        <v>0</v>
      </c>
      <c r="J124" s="19">
        <f>N16</f>
        <v>5.577</v>
      </c>
      <c r="N124">
        <v>93</v>
      </c>
      <c r="O124" t="s">
        <v>30</v>
      </c>
      <c r="P124" t="s">
        <v>36</v>
      </c>
      <c r="Q124" t="s">
        <v>20</v>
      </c>
      <c r="R124">
        <f t="shared" si="18"/>
        <v>27</v>
      </c>
      <c r="S124">
        <f t="shared" si="16"/>
        <v>36</v>
      </c>
      <c r="T124">
        <f t="shared" si="25"/>
        <v>0.44800000000000001</v>
      </c>
      <c r="U124">
        <v>0.875</v>
      </c>
    </row>
    <row r="125" spans="7:21" x14ac:dyDescent="0.3">
      <c r="G125" s="18">
        <v>76</v>
      </c>
      <c r="H125" s="19">
        <f>$O$5</f>
        <v>-7.22</v>
      </c>
      <c r="I125" s="19">
        <f t="shared" si="26"/>
        <v>0</v>
      </c>
      <c r="J125" s="19">
        <f>O16</f>
        <v>6.0179999999999998</v>
      </c>
      <c r="N125">
        <v>94</v>
      </c>
      <c r="O125" t="s">
        <v>30</v>
      </c>
      <c r="P125" t="s">
        <v>36</v>
      </c>
      <c r="Q125" t="s">
        <v>20</v>
      </c>
      <c r="R125">
        <f t="shared" si="18"/>
        <v>36</v>
      </c>
      <c r="S125">
        <f t="shared" si="16"/>
        <v>45</v>
      </c>
      <c r="T125">
        <f t="shared" si="25"/>
        <v>0.44800000000000001</v>
      </c>
      <c r="U125">
        <v>0.875</v>
      </c>
    </row>
    <row r="126" spans="7:21" x14ac:dyDescent="0.3">
      <c r="G126" s="18">
        <v>77</v>
      </c>
      <c r="H126" s="19">
        <f>$P$5</f>
        <v>0</v>
      </c>
      <c r="I126" s="19">
        <f t="shared" si="26"/>
        <v>0</v>
      </c>
      <c r="J126" s="19">
        <f>P16</f>
        <v>6.165</v>
      </c>
      <c r="N126">
        <v>95</v>
      </c>
      <c r="O126" t="s">
        <v>30</v>
      </c>
      <c r="P126" t="s">
        <v>36</v>
      </c>
      <c r="Q126" t="s">
        <v>20</v>
      </c>
      <c r="R126">
        <f t="shared" si="18"/>
        <v>45</v>
      </c>
      <c r="S126">
        <f t="shared" si="16"/>
        <v>54</v>
      </c>
      <c r="T126">
        <f t="shared" si="25"/>
        <v>0.44800000000000001</v>
      </c>
      <c r="U126">
        <v>0.875</v>
      </c>
    </row>
    <row r="127" spans="7:21" x14ac:dyDescent="0.3">
      <c r="G127" s="18">
        <v>78</v>
      </c>
      <c r="H127" s="19">
        <f>$Q$5</f>
        <v>7.22</v>
      </c>
      <c r="I127" s="19">
        <f t="shared" si="26"/>
        <v>0</v>
      </c>
      <c r="J127" s="19">
        <f>Q16</f>
        <v>6.0179999999999998</v>
      </c>
      <c r="N127">
        <v>96</v>
      </c>
      <c r="O127" t="s">
        <v>30</v>
      </c>
      <c r="P127" t="s">
        <v>36</v>
      </c>
      <c r="Q127" t="s">
        <v>20</v>
      </c>
      <c r="R127">
        <f t="shared" si="18"/>
        <v>54</v>
      </c>
      <c r="S127">
        <f t="shared" si="16"/>
        <v>63</v>
      </c>
      <c r="T127">
        <f t="shared" si="25"/>
        <v>0.44800000000000001</v>
      </c>
      <c r="U127">
        <v>0.875</v>
      </c>
    </row>
    <row r="128" spans="7:21" x14ac:dyDescent="0.3">
      <c r="G128" s="18">
        <v>79</v>
      </c>
      <c r="H128" s="19">
        <f>$R$5</f>
        <v>14.44</v>
      </c>
      <c r="I128" s="19">
        <f t="shared" si="26"/>
        <v>0</v>
      </c>
      <c r="J128" s="19">
        <f>R16</f>
        <v>5.577</v>
      </c>
      <c r="N128">
        <v>97</v>
      </c>
      <c r="O128" t="s">
        <v>30</v>
      </c>
      <c r="P128" t="s">
        <v>36</v>
      </c>
      <c r="Q128" t="s">
        <v>20</v>
      </c>
      <c r="R128">
        <f t="shared" si="18"/>
        <v>63</v>
      </c>
      <c r="S128">
        <f t="shared" si="16"/>
        <v>72</v>
      </c>
      <c r="T128">
        <f t="shared" si="25"/>
        <v>0.44800000000000001</v>
      </c>
      <c r="U128">
        <v>0.875</v>
      </c>
    </row>
    <row r="129" spans="7:21" x14ac:dyDescent="0.3">
      <c r="G129" s="18">
        <v>80</v>
      </c>
      <c r="H129" s="19">
        <f>$S$5</f>
        <v>21.66</v>
      </c>
      <c r="I129" s="19">
        <f t="shared" si="26"/>
        <v>0</v>
      </c>
      <c r="J129" s="19">
        <f>S16</f>
        <v>4.9889999999999999</v>
      </c>
      <c r="N129">
        <v>98</v>
      </c>
      <c r="O129" t="s">
        <v>30</v>
      </c>
      <c r="P129" t="s">
        <v>36</v>
      </c>
      <c r="Q129" t="s">
        <v>20</v>
      </c>
      <c r="R129">
        <f t="shared" si="18"/>
        <v>72</v>
      </c>
      <c r="S129">
        <f t="shared" si="16"/>
        <v>81</v>
      </c>
      <c r="T129">
        <f t="shared" si="25"/>
        <v>0.44800000000000001</v>
      </c>
      <c r="U129">
        <v>0.875</v>
      </c>
    </row>
    <row r="130" spans="7:21" x14ac:dyDescent="0.3">
      <c r="G130" s="18">
        <v>81</v>
      </c>
      <c r="H130" s="19">
        <f>$T$5</f>
        <v>28.88</v>
      </c>
      <c r="I130" s="19">
        <f t="shared" si="26"/>
        <v>0</v>
      </c>
      <c r="J130" s="19">
        <f>T16</f>
        <v>4.5279999999999996</v>
      </c>
      <c r="N130">
        <v>99</v>
      </c>
      <c r="O130" t="s">
        <v>30</v>
      </c>
      <c r="P130" t="s">
        <v>36</v>
      </c>
      <c r="Q130" t="s">
        <v>20</v>
      </c>
      <c r="R130">
        <f t="shared" si="18"/>
        <v>81</v>
      </c>
      <c r="S130">
        <f t="shared" si="16"/>
        <v>90</v>
      </c>
      <c r="T130">
        <f t="shared" si="25"/>
        <v>0.44800000000000001</v>
      </c>
      <c r="U130">
        <v>0.875</v>
      </c>
    </row>
    <row r="131" spans="7:21" x14ac:dyDescent="0.3">
      <c r="G131">
        <v>82</v>
      </c>
      <c r="H131" s="20">
        <f>$L$5</f>
        <v>-28.88</v>
      </c>
      <c r="I131" s="20">
        <f>$F$15</f>
        <v>3.73</v>
      </c>
      <c r="J131" s="20">
        <f>L15</f>
        <v>4.4980000000000002</v>
      </c>
      <c r="N131">
        <v>100</v>
      </c>
      <c r="O131" t="s">
        <v>30</v>
      </c>
      <c r="P131" t="s">
        <v>36</v>
      </c>
      <c r="Q131" t="s">
        <v>20</v>
      </c>
      <c r="R131">
        <f t="shared" si="18"/>
        <v>90</v>
      </c>
      <c r="S131">
        <f t="shared" si="16"/>
        <v>99</v>
      </c>
      <c r="T131">
        <f t="shared" si="25"/>
        <v>0.44800000000000001</v>
      </c>
      <c r="U131">
        <v>0.875</v>
      </c>
    </row>
    <row r="132" spans="7:21" x14ac:dyDescent="0.3">
      <c r="G132">
        <v>83</v>
      </c>
      <c r="H132" s="20">
        <f>$M$5</f>
        <v>-21.66</v>
      </c>
      <c r="I132" s="20">
        <f t="shared" ref="I132:I139" si="27">$F$15</f>
        <v>3.73</v>
      </c>
      <c r="J132" s="20">
        <f>M15</f>
        <v>4.9550000000000001</v>
      </c>
      <c r="N132">
        <v>101</v>
      </c>
      <c r="O132" t="s">
        <v>30</v>
      </c>
      <c r="P132" t="s">
        <v>36</v>
      </c>
      <c r="Q132" t="s">
        <v>20</v>
      </c>
      <c r="R132">
        <f t="shared" si="18"/>
        <v>99</v>
      </c>
      <c r="S132">
        <f t="shared" si="16"/>
        <v>108</v>
      </c>
      <c r="T132">
        <f t="shared" si="25"/>
        <v>0.44800000000000001</v>
      </c>
      <c r="U132">
        <v>0.875</v>
      </c>
    </row>
    <row r="133" spans="7:21" x14ac:dyDescent="0.3">
      <c r="G133">
        <v>84</v>
      </c>
      <c r="H133" s="20">
        <f>$N$5</f>
        <v>-14.44</v>
      </c>
      <c r="I133" s="20">
        <f t="shared" si="27"/>
        <v>3.73</v>
      </c>
      <c r="J133" s="20">
        <f>N15</f>
        <v>5.5259999999999998</v>
      </c>
      <c r="N133">
        <v>102</v>
      </c>
      <c r="O133" t="s">
        <v>30</v>
      </c>
      <c r="P133" t="s">
        <v>36</v>
      </c>
      <c r="Q133" t="s">
        <v>20</v>
      </c>
      <c r="R133">
        <f t="shared" si="18"/>
        <v>108</v>
      </c>
      <c r="S133">
        <f t="shared" ref="S133:S196" si="28">R133+9</f>
        <v>117</v>
      </c>
      <c r="T133">
        <f t="shared" si="25"/>
        <v>0.44800000000000001</v>
      </c>
      <c r="U133">
        <v>0.875</v>
      </c>
    </row>
    <row r="134" spans="7:21" x14ac:dyDescent="0.3">
      <c r="G134">
        <v>85</v>
      </c>
      <c r="H134" s="20">
        <f>$O$5</f>
        <v>-7.22</v>
      </c>
      <c r="I134" s="20">
        <f t="shared" si="27"/>
        <v>3.73</v>
      </c>
      <c r="J134" s="20">
        <f>O15</f>
        <v>5.9530000000000003</v>
      </c>
      <c r="N134">
        <v>103</v>
      </c>
      <c r="O134" t="s">
        <v>30</v>
      </c>
      <c r="P134" t="s">
        <v>36</v>
      </c>
      <c r="Q134" t="s">
        <v>20</v>
      </c>
      <c r="R134">
        <f t="shared" ref="R134:R197" si="29">S133</f>
        <v>117</v>
      </c>
      <c r="S134">
        <f t="shared" si="28"/>
        <v>126</v>
      </c>
      <c r="T134">
        <f t="shared" si="25"/>
        <v>0.44800000000000001</v>
      </c>
      <c r="U134">
        <v>0.875</v>
      </c>
    </row>
    <row r="135" spans="7:21" x14ac:dyDescent="0.3">
      <c r="G135">
        <v>86</v>
      </c>
      <c r="H135" s="20">
        <f>$P$5</f>
        <v>0</v>
      </c>
      <c r="I135" s="20">
        <f t="shared" si="27"/>
        <v>3.73</v>
      </c>
      <c r="J135" s="20">
        <f>P15</f>
        <v>6.0960000000000001</v>
      </c>
      <c r="N135">
        <v>104</v>
      </c>
      <c r="O135" t="s">
        <v>30</v>
      </c>
      <c r="P135" t="s">
        <v>36</v>
      </c>
      <c r="Q135" t="s">
        <v>20</v>
      </c>
      <c r="R135">
        <f t="shared" si="29"/>
        <v>126</v>
      </c>
      <c r="S135">
        <f t="shared" si="28"/>
        <v>135</v>
      </c>
      <c r="T135">
        <f t="shared" si="25"/>
        <v>0.44800000000000001</v>
      </c>
      <c r="U135">
        <v>0.875</v>
      </c>
    </row>
    <row r="136" spans="7:21" x14ac:dyDescent="0.3">
      <c r="G136">
        <v>87</v>
      </c>
      <c r="H136" s="20">
        <f>$Q$5</f>
        <v>7.22</v>
      </c>
      <c r="I136" s="20">
        <f t="shared" si="27"/>
        <v>3.73</v>
      </c>
      <c r="J136" s="20">
        <f>Q15</f>
        <v>5.9530000000000003</v>
      </c>
      <c r="N136">
        <v>105</v>
      </c>
      <c r="O136" t="s">
        <v>30</v>
      </c>
      <c r="P136" t="s">
        <v>36</v>
      </c>
      <c r="Q136" t="s">
        <v>20</v>
      </c>
      <c r="R136">
        <f t="shared" si="29"/>
        <v>135</v>
      </c>
      <c r="S136">
        <f t="shared" si="28"/>
        <v>144</v>
      </c>
      <c r="T136">
        <f t="shared" si="25"/>
        <v>0.44800000000000001</v>
      </c>
      <c r="U136">
        <v>0.875</v>
      </c>
    </row>
    <row r="137" spans="7:21" x14ac:dyDescent="0.3">
      <c r="G137">
        <v>88</v>
      </c>
      <c r="H137" s="20">
        <f>$R$5</f>
        <v>14.44</v>
      </c>
      <c r="I137" s="20">
        <f t="shared" si="27"/>
        <v>3.73</v>
      </c>
      <c r="J137" s="20">
        <f>R15</f>
        <v>5.5259999999999998</v>
      </c>
      <c r="N137">
        <v>106</v>
      </c>
      <c r="O137" t="s">
        <v>30</v>
      </c>
      <c r="P137" t="s">
        <v>36</v>
      </c>
      <c r="Q137" t="s">
        <v>20</v>
      </c>
      <c r="R137">
        <f t="shared" si="29"/>
        <v>144</v>
      </c>
      <c r="S137">
        <f t="shared" si="28"/>
        <v>153</v>
      </c>
      <c r="T137">
        <f t="shared" si="25"/>
        <v>0.44800000000000001</v>
      </c>
      <c r="U137">
        <v>0.875</v>
      </c>
    </row>
    <row r="138" spans="7:21" x14ac:dyDescent="0.3">
      <c r="G138">
        <v>89</v>
      </c>
      <c r="H138" s="20">
        <f>$S$5</f>
        <v>21.66</v>
      </c>
      <c r="I138" s="20">
        <f t="shared" si="27"/>
        <v>3.73</v>
      </c>
      <c r="J138" s="20">
        <f>S15</f>
        <v>4.9550000000000001</v>
      </c>
      <c r="N138">
        <v>107</v>
      </c>
      <c r="O138" t="s">
        <v>30</v>
      </c>
      <c r="P138" t="s">
        <v>36</v>
      </c>
      <c r="Q138" t="s">
        <v>20</v>
      </c>
      <c r="R138">
        <f t="shared" si="29"/>
        <v>153</v>
      </c>
      <c r="S138">
        <f t="shared" si="28"/>
        <v>162</v>
      </c>
      <c r="T138">
        <f t="shared" si="25"/>
        <v>0.44800000000000001</v>
      </c>
      <c r="U138">
        <v>0.875</v>
      </c>
    </row>
    <row r="139" spans="7:21" x14ac:dyDescent="0.3">
      <c r="G139">
        <v>90</v>
      </c>
      <c r="H139" s="20">
        <f>$T$5</f>
        <v>28.88</v>
      </c>
      <c r="I139" s="20">
        <f t="shared" si="27"/>
        <v>3.73</v>
      </c>
      <c r="J139" s="20">
        <f>T15</f>
        <v>4.4980000000000002</v>
      </c>
      <c r="N139">
        <v>108</v>
      </c>
      <c r="O139" t="s">
        <v>30</v>
      </c>
      <c r="P139" t="s">
        <v>36</v>
      </c>
      <c r="Q139" t="s">
        <v>20</v>
      </c>
      <c r="R139">
        <f t="shared" si="29"/>
        <v>162</v>
      </c>
      <c r="S139">
        <f t="shared" si="28"/>
        <v>171</v>
      </c>
      <c r="T139">
        <f t="shared" si="25"/>
        <v>0.44800000000000001</v>
      </c>
      <c r="U139">
        <v>0.875</v>
      </c>
    </row>
    <row r="140" spans="7:21" x14ac:dyDescent="0.3">
      <c r="G140" s="18">
        <v>91</v>
      </c>
      <c r="H140" s="19">
        <f>$L$5</f>
        <v>-28.88</v>
      </c>
      <c r="I140" s="19">
        <f>$F$14</f>
        <v>7.46</v>
      </c>
      <c r="J140" s="19">
        <f>L14</f>
        <v>4.4089999999999998</v>
      </c>
      <c r="N140">
        <v>109</v>
      </c>
      <c r="O140" t="s">
        <v>28</v>
      </c>
      <c r="P140" t="s">
        <v>22</v>
      </c>
      <c r="Q140" t="s">
        <v>20</v>
      </c>
      <c r="R140">
        <v>3</v>
      </c>
      <c r="S140">
        <f t="shared" si="28"/>
        <v>12</v>
      </c>
      <c r="T140">
        <v>0.184</v>
      </c>
      <c r="U140">
        <v>1.35</v>
      </c>
    </row>
    <row r="141" spans="7:21" x14ac:dyDescent="0.3">
      <c r="G141" s="18">
        <v>92</v>
      </c>
      <c r="H141" s="19">
        <f>$M$5</f>
        <v>-21.66</v>
      </c>
      <c r="I141" s="19">
        <f t="shared" ref="I141:I148" si="30">$F$14</f>
        <v>7.46</v>
      </c>
      <c r="J141" s="19">
        <f>M14</f>
        <v>4.8529999999999998</v>
      </c>
      <c r="N141">
        <v>110</v>
      </c>
      <c r="O141" t="s">
        <v>28</v>
      </c>
      <c r="P141" t="s">
        <v>22</v>
      </c>
      <c r="Q141" t="s">
        <v>20</v>
      </c>
      <c r="R141">
        <f t="shared" si="29"/>
        <v>12</v>
      </c>
      <c r="S141">
        <f t="shared" si="28"/>
        <v>21</v>
      </c>
      <c r="T141">
        <v>0.184</v>
      </c>
      <c r="U141">
        <v>1.35</v>
      </c>
    </row>
    <row r="142" spans="7:21" x14ac:dyDescent="0.3">
      <c r="G142" s="18">
        <v>93</v>
      </c>
      <c r="H142" s="19">
        <f>$N$5</f>
        <v>-14.44</v>
      </c>
      <c r="I142" s="19">
        <f t="shared" si="30"/>
        <v>7.46</v>
      </c>
      <c r="J142" s="19">
        <f>N14</f>
        <v>5.3710000000000004</v>
      </c>
      <c r="N142">
        <v>111</v>
      </c>
      <c r="O142" t="s">
        <v>28</v>
      </c>
      <c r="P142" t="s">
        <v>22</v>
      </c>
      <c r="Q142" t="s">
        <v>20</v>
      </c>
      <c r="R142">
        <f t="shared" si="29"/>
        <v>21</v>
      </c>
      <c r="S142">
        <f t="shared" si="28"/>
        <v>30</v>
      </c>
      <c r="T142">
        <v>0.184</v>
      </c>
      <c r="U142">
        <v>1.35</v>
      </c>
    </row>
    <row r="143" spans="7:21" x14ac:dyDescent="0.3">
      <c r="G143" s="18">
        <v>94</v>
      </c>
      <c r="H143" s="19">
        <f>$O$5</f>
        <v>-7.22</v>
      </c>
      <c r="I143" s="19">
        <f t="shared" si="30"/>
        <v>7.46</v>
      </c>
      <c r="J143" s="19">
        <f>O14</f>
        <v>5.7590000000000003</v>
      </c>
      <c r="N143">
        <v>112</v>
      </c>
      <c r="O143" t="s">
        <v>28</v>
      </c>
      <c r="P143" t="s">
        <v>22</v>
      </c>
      <c r="Q143" t="s">
        <v>20</v>
      </c>
      <c r="R143">
        <f t="shared" si="29"/>
        <v>30</v>
      </c>
      <c r="S143">
        <f t="shared" si="28"/>
        <v>39</v>
      </c>
      <c r="T143">
        <v>0.184</v>
      </c>
      <c r="U143">
        <v>1.35</v>
      </c>
    </row>
    <row r="144" spans="7:21" x14ac:dyDescent="0.3">
      <c r="G144" s="18">
        <v>95</v>
      </c>
      <c r="H144" s="19">
        <f>$P$5</f>
        <v>0</v>
      </c>
      <c r="I144" s="19">
        <f t="shared" si="30"/>
        <v>7.46</v>
      </c>
      <c r="J144" s="19">
        <f>P14</f>
        <v>5.8879999999999999</v>
      </c>
      <c r="N144">
        <v>113</v>
      </c>
      <c r="O144" t="s">
        <v>28</v>
      </c>
      <c r="P144" t="s">
        <v>22</v>
      </c>
      <c r="Q144" t="s">
        <v>20</v>
      </c>
      <c r="R144">
        <f t="shared" si="29"/>
        <v>39</v>
      </c>
      <c r="S144">
        <f t="shared" si="28"/>
        <v>48</v>
      </c>
      <c r="T144">
        <v>0.184</v>
      </c>
      <c r="U144">
        <v>1.35</v>
      </c>
    </row>
    <row r="145" spans="7:21" x14ac:dyDescent="0.3">
      <c r="G145" s="18">
        <v>96</v>
      </c>
      <c r="H145" s="19">
        <f>$Q$5</f>
        <v>7.22</v>
      </c>
      <c r="I145" s="19">
        <f t="shared" si="30"/>
        <v>7.46</v>
      </c>
      <c r="J145" s="19">
        <f>Q14</f>
        <v>5.7590000000000003</v>
      </c>
      <c r="N145">
        <v>114</v>
      </c>
      <c r="O145" t="s">
        <v>28</v>
      </c>
      <c r="P145" t="s">
        <v>22</v>
      </c>
      <c r="Q145" t="s">
        <v>20</v>
      </c>
      <c r="R145">
        <f t="shared" si="29"/>
        <v>48</v>
      </c>
      <c r="S145">
        <f t="shared" si="28"/>
        <v>57</v>
      </c>
      <c r="T145">
        <v>0.184</v>
      </c>
      <c r="U145">
        <v>1.35</v>
      </c>
    </row>
    <row r="146" spans="7:21" x14ac:dyDescent="0.3">
      <c r="G146" s="18">
        <v>97</v>
      </c>
      <c r="H146" s="19">
        <f>$R$5</f>
        <v>14.44</v>
      </c>
      <c r="I146" s="19">
        <f t="shared" si="30"/>
        <v>7.46</v>
      </c>
      <c r="J146" s="19">
        <f>R14</f>
        <v>5.3710000000000004</v>
      </c>
      <c r="N146">
        <v>115</v>
      </c>
      <c r="O146" t="s">
        <v>28</v>
      </c>
      <c r="P146" t="s">
        <v>22</v>
      </c>
      <c r="Q146" t="s">
        <v>20</v>
      </c>
      <c r="R146">
        <f t="shared" si="29"/>
        <v>57</v>
      </c>
      <c r="S146">
        <f t="shared" si="28"/>
        <v>66</v>
      </c>
      <c r="T146">
        <v>0.184</v>
      </c>
      <c r="U146">
        <v>1.35</v>
      </c>
    </row>
    <row r="147" spans="7:21" x14ac:dyDescent="0.3">
      <c r="G147" s="18">
        <v>98</v>
      </c>
      <c r="H147" s="19">
        <f>$S$5</f>
        <v>21.66</v>
      </c>
      <c r="I147" s="19">
        <f t="shared" si="30"/>
        <v>7.46</v>
      </c>
      <c r="J147" s="19">
        <f>S14</f>
        <v>4.8529999999999998</v>
      </c>
      <c r="N147">
        <v>116</v>
      </c>
      <c r="O147" t="s">
        <v>28</v>
      </c>
      <c r="P147" t="s">
        <v>22</v>
      </c>
      <c r="Q147" t="s">
        <v>20</v>
      </c>
      <c r="R147">
        <f t="shared" si="29"/>
        <v>66</v>
      </c>
      <c r="S147">
        <f t="shared" si="28"/>
        <v>75</v>
      </c>
      <c r="T147">
        <v>0.184</v>
      </c>
      <c r="U147">
        <v>1.35</v>
      </c>
    </row>
    <row r="148" spans="7:21" x14ac:dyDescent="0.3">
      <c r="G148" s="18">
        <v>99</v>
      </c>
      <c r="H148" s="19">
        <f>$T$5</f>
        <v>28.88</v>
      </c>
      <c r="I148" s="19">
        <f t="shared" si="30"/>
        <v>7.46</v>
      </c>
      <c r="J148" s="19">
        <f>T14</f>
        <v>4.4089999999999998</v>
      </c>
      <c r="N148">
        <v>117</v>
      </c>
      <c r="O148" t="s">
        <v>28</v>
      </c>
      <c r="P148" t="s">
        <v>22</v>
      </c>
      <c r="Q148" t="s">
        <v>20</v>
      </c>
      <c r="R148">
        <f t="shared" si="29"/>
        <v>75</v>
      </c>
      <c r="S148">
        <f t="shared" si="28"/>
        <v>84</v>
      </c>
      <c r="T148">
        <v>0.184</v>
      </c>
      <c r="U148">
        <v>1.35</v>
      </c>
    </row>
    <row r="149" spans="7:21" x14ac:dyDescent="0.3">
      <c r="G149">
        <v>100</v>
      </c>
      <c r="H149" s="20">
        <f>$L$5</f>
        <v>-28.88</v>
      </c>
      <c r="I149" s="20">
        <f>$F$13</f>
        <v>11.07</v>
      </c>
      <c r="J149" s="20">
        <f>L13</f>
        <v>4.2649999999999997</v>
      </c>
      <c r="N149">
        <v>118</v>
      </c>
      <c r="O149" t="s">
        <v>28</v>
      </c>
      <c r="P149" t="s">
        <v>22</v>
      </c>
      <c r="Q149" t="s">
        <v>20</v>
      </c>
      <c r="R149">
        <f t="shared" si="29"/>
        <v>84</v>
      </c>
      <c r="S149">
        <f t="shared" si="28"/>
        <v>93</v>
      </c>
      <c r="T149">
        <v>0.184</v>
      </c>
      <c r="U149">
        <v>1.35</v>
      </c>
    </row>
    <row r="150" spans="7:21" x14ac:dyDescent="0.3">
      <c r="G150">
        <v>101</v>
      </c>
      <c r="H150" s="20">
        <f>$M$5</f>
        <v>-21.66</v>
      </c>
      <c r="I150" s="20">
        <f t="shared" ref="I150:I157" si="31">$F$13</f>
        <v>11.07</v>
      </c>
      <c r="J150" s="20">
        <f>M13</f>
        <v>4.6890000000000001</v>
      </c>
      <c r="N150">
        <v>119</v>
      </c>
      <c r="O150" t="s">
        <v>28</v>
      </c>
      <c r="P150" t="s">
        <v>22</v>
      </c>
      <c r="Q150" t="s">
        <v>20</v>
      </c>
      <c r="R150">
        <f t="shared" si="29"/>
        <v>93</v>
      </c>
      <c r="S150">
        <f t="shared" si="28"/>
        <v>102</v>
      </c>
      <c r="T150">
        <v>0.184</v>
      </c>
      <c r="U150">
        <v>1.35</v>
      </c>
    </row>
    <row r="151" spans="7:21" x14ac:dyDescent="0.3">
      <c r="G151">
        <v>102</v>
      </c>
      <c r="H151" s="20">
        <f>$N$5</f>
        <v>-14.44</v>
      </c>
      <c r="I151" s="20">
        <f t="shared" si="31"/>
        <v>11.07</v>
      </c>
      <c r="J151" s="20">
        <f>N13</f>
        <v>5.1219999999999999</v>
      </c>
      <c r="N151">
        <v>120</v>
      </c>
      <c r="O151" t="s">
        <v>28</v>
      </c>
      <c r="P151" t="s">
        <v>22</v>
      </c>
      <c r="Q151" t="s">
        <v>20</v>
      </c>
      <c r="R151">
        <f t="shared" si="29"/>
        <v>102</v>
      </c>
      <c r="S151">
        <f t="shared" si="28"/>
        <v>111</v>
      </c>
      <c r="T151">
        <v>0.184</v>
      </c>
      <c r="U151">
        <v>1.35</v>
      </c>
    </row>
    <row r="152" spans="7:21" x14ac:dyDescent="0.3">
      <c r="G152">
        <v>103</v>
      </c>
      <c r="H152" s="20">
        <f>$O$5</f>
        <v>-7.22</v>
      </c>
      <c r="I152" s="20">
        <f t="shared" si="31"/>
        <v>11.07</v>
      </c>
      <c r="J152" s="20">
        <f>O13</f>
        <v>5.4470000000000001</v>
      </c>
      <c r="N152">
        <v>121</v>
      </c>
      <c r="O152" t="s">
        <v>28</v>
      </c>
      <c r="P152" t="s">
        <v>22</v>
      </c>
      <c r="Q152" t="s">
        <v>20</v>
      </c>
      <c r="R152">
        <f t="shared" si="29"/>
        <v>111</v>
      </c>
      <c r="S152">
        <f t="shared" si="28"/>
        <v>120</v>
      </c>
      <c r="T152">
        <v>0.184</v>
      </c>
      <c r="U152">
        <v>1.35</v>
      </c>
    </row>
    <row r="153" spans="7:21" x14ac:dyDescent="0.3">
      <c r="G153">
        <v>104</v>
      </c>
      <c r="H153" s="20">
        <f>$P$5</f>
        <v>0</v>
      </c>
      <c r="I153" s="20">
        <f t="shared" si="31"/>
        <v>11.07</v>
      </c>
      <c r="J153" s="20">
        <f>P13</f>
        <v>5.5549999999999997</v>
      </c>
      <c r="N153">
        <v>122</v>
      </c>
      <c r="O153" t="s">
        <v>28</v>
      </c>
      <c r="P153" t="s">
        <v>22</v>
      </c>
      <c r="Q153" t="s">
        <v>20</v>
      </c>
      <c r="R153">
        <f t="shared" si="29"/>
        <v>120</v>
      </c>
      <c r="S153">
        <f t="shared" si="28"/>
        <v>129</v>
      </c>
      <c r="T153">
        <v>0.184</v>
      </c>
      <c r="U153">
        <v>1.35</v>
      </c>
    </row>
    <row r="154" spans="7:21" x14ac:dyDescent="0.3">
      <c r="G154">
        <v>105</v>
      </c>
      <c r="H154" s="20">
        <f>$Q$5</f>
        <v>7.22</v>
      </c>
      <c r="I154" s="20">
        <f t="shared" si="31"/>
        <v>11.07</v>
      </c>
      <c r="J154" s="20">
        <f>Q13</f>
        <v>5.4470000000000001</v>
      </c>
      <c r="N154">
        <v>123</v>
      </c>
      <c r="O154" t="s">
        <v>28</v>
      </c>
      <c r="P154" t="s">
        <v>22</v>
      </c>
      <c r="Q154" t="s">
        <v>20</v>
      </c>
      <c r="R154">
        <f t="shared" si="29"/>
        <v>129</v>
      </c>
      <c r="S154">
        <f t="shared" si="28"/>
        <v>138</v>
      </c>
      <c r="T154">
        <v>0.184</v>
      </c>
      <c r="U154">
        <v>1.35</v>
      </c>
    </row>
    <row r="155" spans="7:21" x14ac:dyDescent="0.3">
      <c r="G155">
        <v>106</v>
      </c>
      <c r="H155" s="20">
        <f>$R$5</f>
        <v>14.44</v>
      </c>
      <c r="I155" s="20">
        <f t="shared" si="31"/>
        <v>11.07</v>
      </c>
      <c r="J155" s="20">
        <f>R13</f>
        <v>5.1219999999999999</v>
      </c>
      <c r="N155">
        <v>124</v>
      </c>
      <c r="O155" t="s">
        <v>28</v>
      </c>
      <c r="P155" t="s">
        <v>22</v>
      </c>
      <c r="Q155" t="s">
        <v>20</v>
      </c>
      <c r="R155">
        <f t="shared" si="29"/>
        <v>138</v>
      </c>
      <c r="S155">
        <f t="shared" si="28"/>
        <v>147</v>
      </c>
      <c r="T155">
        <v>0.184</v>
      </c>
      <c r="U155">
        <v>1.35</v>
      </c>
    </row>
    <row r="156" spans="7:21" x14ac:dyDescent="0.3">
      <c r="G156">
        <v>107</v>
      </c>
      <c r="H156" s="20">
        <f>$S$5</f>
        <v>21.66</v>
      </c>
      <c r="I156" s="20">
        <f t="shared" si="31"/>
        <v>11.07</v>
      </c>
      <c r="J156" s="20">
        <f>S13</f>
        <v>4.6890000000000001</v>
      </c>
      <c r="N156">
        <v>125</v>
      </c>
      <c r="O156" t="s">
        <v>28</v>
      </c>
      <c r="P156" t="s">
        <v>22</v>
      </c>
      <c r="Q156" t="s">
        <v>20</v>
      </c>
      <c r="R156">
        <f t="shared" si="29"/>
        <v>147</v>
      </c>
      <c r="S156">
        <f t="shared" si="28"/>
        <v>156</v>
      </c>
      <c r="T156">
        <v>0.184</v>
      </c>
      <c r="U156">
        <v>1.35</v>
      </c>
    </row>
    <row r="157" spans="7:21" x14ac:dyDescent="0.3">
      <c r="G157">
        <v>108</v>
      </c>
      <c r="H157" s="20">
        <f>$T$5</f>
        <v>28.88</v>
      </c>
      <c r="I157" s="20">
        <f t="shared" si="31"/>
        <v>11.07</v>
      </c>
      <c r="J157" s="20">
        <f>T13</f>
        <v>4.2649999999999997</v>
      </c>
      <c r="N157">
        <v>126</v>
      </c>
      <c r="O157" t="s">
        <v>28</v>
      </c>
      <c r="P157" t="s">
        <v>22</v>
      </c>
      <c r="Q157" t="s">
        <v>20</v>
      </c>
      <c r="R157">
        <f t="shared" si="29"/>
        <v>156</v>
      </c>
      <c r="S157">
        <f t="shared" si="28"/>
        <v>165</v>
      </c>
      <c r="T157">
        <v>0.184</v>
      </c>
      <c r="U157">
        <v>1.35</v>
      </c>
    </row>
    <row r="158" spans="7:21" x14ac:dyDescent="0.3">
      <c r="G158" s="18">
        <v>109</v>
      </c>
      <c r="H158" s="19">
        <f>$L$5</f>
        <v>-28.88</v>
      </c>
      <c r="I158" s="19">
        <f>$F$12</f>
        <v>14.68</v>
      </c>
      <c r="J158" s="19">
        <f>L12</f>
        <v>4.0999999999999996</v>
      </c>
      <c r="N158">
        <v>127</v>
      </c>
      <c r="O158" t="s">
        <v>31</v>
      </c>
      <c r="P158" t="s">
        <v>22</v>
      </c>
      <c r="Q158" t="s">
        <v>20</v>
      </c>
      <c r="R158">
        <v>4</v>
      </c>
      <c r="S158">
        <f t="shared" si="28"/>
        <v>13</v>
      </c>
      <c r="T158">
        <v>0.184</v>
      </c>
      <c r="U158">
        <v>1.35</v>
      </c>
    </row>
    <row r="159" spans="7:21" x14ac:dyDescent="0.3">
      <c r="G159" s="18">
        <v>110</v>
      </c>
      <c r="H159" s="19">
        <f>$M$5</f>
        <v>-21.66</v>
      </c>
      <c r="I159" s="19">
        <f t="shared" ref="I159:I166" si="32">$F$12</f>
        <v>14.68</v>
      </c>
      <c r="J159" s="19">
        <f>M12</f>
        <v>4.49</v>
      </c>
      <c r="N159">
        <v>128</v>
      </c>
      <c r="O159" t="s">
        <v>31</v>
      </c>
      <c r="P159" t="s">
        <v>22</v>
      </c>
      <c r="Q159" t="s">
        <v>20</v>
      </c>
      <c r="R159">
        <f t="shared" si="29"/>
        <v>13</v>
      </c>
      <c r="S159">
        <f t="shared" si="28"/>
        <v>22</v>
      </c>
      <c r="T159">
        <v>0.184</v>
      </c>
      <c r="U159">
        <v>1.35</v>
      </c>
    </row>
    <row r="160" spans="7:21" x14ac:dyDescent="0.3">
      <c r="G160" s="18">
        <v>111</v>
      </c>
      <c r="H160" s="19">
        <f>$N$5</f>
        <v>-14.44</v>
      </c>
      <c r="I160" s="19">
        <f t="shared" si="32"/>
        <v>14.68</v>
      </c>
      <c r="J160" s="19">
        <f>N12</f>
        <v>4.8099999999999996</v>
      </c>
      <c r="N160">
        <v>129</v>
      </c>
      <c r="O160" t="s">
        <v>31</v>
      </c>
      <c r="P160" t="s">
        <v>22</v>
      </c>
      <c r="Q160" t="s">
        <v>20</v>
      </c>
      <c r="R160">
        <f t="shared" si="29"/>
        <v>22</v>
      </c>
      <c r="S160">
        <f t="shared" si="28"/>
        <v>31</v>
      </c>
      <c r="T160">
        <v>0.184</v>
      </c>
      <c r="U160">
        <v>1.35</v>
      </c>
    </row>
    <row r="161" spans="7:21" x14ac:dyDescent="0.3">
      <c r="G161" s="18">
        <v>112</v>
      </c>
      <c r="H161" s="19">
        <f>$O$5</f>
        <v>-7.22</v>
      </c>
      <c r="I161" s="19">
        <f t="shared" si="32"/>
        <v>14.68</v>
      </c>
      <c r="J161" s="19">
        <f>O12</f>
        <v>5.0190000000000001</v>
      </c>
      <c r="N161">
        <v>130</v>
      </c>
      <c r="O161" t="s">
        <v>31</v>
      </c>
      <c r="P161" t="s">
        <v>22</v>
      </c>
      <c r="Q161" t="s">
        <v>20</v>
      </c>
      <c r="R161">
        <f t="shared" si="29"/>
        <v>31</v>
      </c>
      <c r="S161">
        <f t="shared" si="28"/>
        <v>40</v>
      </c>
      <c r="T161">
        <v>0.184</v>
      </c>
      <c r="U161">
        <v>1.35</v>
      </c>
    </row>
    <row r="162" spans="7:21" x14ac:dyDescent="0.3">
      <c r="G162" s="18">
        <v>113</v>
      </c>
      <c r="H162" s="19">
        <f>$P$5</f>
        <v>0</v>
      </c>
      <c r="I162" s="19">
        <f t="shared" si="32"/>
        <v>14.68</v>
      </c>
      <c r="J162" s="19">
        <f>P12</f>
        <v>5.0890000000000004</v>
      </c>
      <c r="N162">
        <v>131</v>
      </c>
      <c r="O162" t="s">
        <v>31</v>
      </c>
      <c r="P162" t="s">
        <v>22</v>
      </c>
      <c r="Q162" t="s">
        <v>20</v>
      </c>
      <c r="R162">
        <f t="shared" si="29"/>
        <v>40</v>
      </c>
      <c r="S162">
        <f t="shared" si="28"/>
        <v>49</v>
      </c>
      <c r="T162">
        <v>0.184</v>
      </c>
      <c r="U162">
        <v>1.35</v>
      </c>
    </row>
    <row r="163" spans="7:21" x14ac:dyDescent="0.3">
      <c r="G163" s="18">
        <v>114</v>
      </c>
      <c r="H163" s="19">
        <f>$Q$5</f>
        <v>7.22</v>
      </c>
      <c r="I163" s="19">
        <f t="shared" si="32"/>
        <v>14.68</v>
      </c>
      <c r="J163" s="19">
        <f>Q12</f>
        <v>5.0190000000000001</v>
      </c>
      <c r="N163">
        <v>132</v>
      </c>
      <c r="O163" t="s">
        <v>31</v>
      </c>
      <c r="P163" t="s">
        <v>22</v>
      </c>
      <c r="Q163" t="s">
        <v>20</v>
      </c>
      <c r="R163">
        <f t="shared" si="29"/>
        <v>49</v>
      </c>
      <c r="S163">
        <f t="shared" si="28"/>
        <v>58</v>
      </c>
      <c r="T163">
        <v>0.184</v>
      </c>
      <c r="U163">
        <v>1.35</v>
      </c>
    </row>
    <row r="164" spans="7:21" x14ac:dyDescent="0.3">
      <c r="G164" s="18">
        <v>115</v>
      </c>
      <c r="H164" s="19">
        <f>$R$5</f>
        <v>14.44</v>
      </c>
      <c r="I164" s="19">
        <f t="shared" si="32"/>
        <v>14.68</v>
      </c>
      <c r="J164" s="19">
        <f>R12</f>
        <v>4.8099999999999996</v>
      </c>
      <c r="N164">
        <v>133</v>
      </c>
      <c r="O164" t="s">
        <v>31</v>
      </c>
      <c r="P164" t="s">
        <v>22</v>
      </c>
      <c r="Q164" t="s">
        <v>20</v>
      </c>
      <c r="R164">
        <f t="shared" si="29"/>
        <v>58</v>
      </c>
      <c r="S164">
        <f t="shared" si="28"/>
        <v>67</v>
      </c>
      <c r="T164">
        <v>0.184</v>
      </c>
      <c r="U164">
        <v>1.35</v>
      </c>
    </row>
    <row r="165" spans="7:21" x14ac:dyDescent="0.3">
      <c r="G165" s="18">
        <v>116</v>
      </c>
      <c r="H165" s="19">
        <f>$S$5</f>
        <v>21.66</v>
      </c>
      <c r="I165" s="19">
        <f t="shared" si="32"/>
        <v>14.68</v>
      </c>
      <c r="J165" s="19">
        <f>S12</f>
        <v>4.49</v>
      </c>
      <c r="N165">
        <v>134</v>
      </c>
      <c r="O165" t="s">
        <v>31</v>
      </c>
      <c r="P165" t="s">
        <v>22</v>
      </c>
      <c r="Q165" t="s">
        <v>20</v>
      </c>
      <c r="R165">
        <f t="shared" si="29"/>
        <v>67</v>
      </c>
      <c r="S165">
        <f t="shared" si="28"/>
        <v>76</v>
      </c>
      <c r="T165">
        <v>0.184</v>
      </c>
      <c r="U165">
        <v>1.35</v>
      </c>
    </row>
    <row r="166" spans="7:21" x14ac:dyDescent="0.3">
      <c r="G166" s="18">
        <v>117</v>
      </c>
      <c r="H166" s="19">
        <f>$T$5</f>
        <v>28.88</v>
      </c>
      <c r="I166" s="19">
        <f t="shared" si="32"/>
        <v>14.68</v>
      </c>
      <c r="J166" s="19">
        <f>T12</f>
        <v>4.0999999999999996</v>
      </c>
      <c r="N166">
        <v>135</v>
      </c>
      <c r="O166" t="s">
        <v>31</v>
      </c>
      <c r="P166" t="s">
        <v>22</v>
      </c>
      <c r="Q166" t="s">
        <v>20</v>
      </c>
      <c r="R166">
        <f t="shared" si="29"/>
        <v>76</v>
      </c>
      <c r="S166">
        <f t="shared" si="28"/>
        <v>85</v>
      </c>
      <c r="T166">
        <v>0.184</v>
      </c>
      <c r="U166">
        <v>1.35</v>
      </c>
    </row>
    <row r="167" spans="7:21" x14ac:dyDescent="0.3">
      <c r="G167">
        <v>118</v>
      </c>
      <c r="H167" s="20">
        <f>$L$5</f>
        <v>-28.88</v>
      </c>
      <c r="I167" s="20">
        <f>$F$11</f>
        <v>17.79</v>
      </c>
      <c r="J167" s="20">
        <f>L11</f>
        <v>3.794</v>
      </c>
      <c r="N167">
        <v>136</v>
      </c>
      <c r="O167" t="s">
        <v>31</v>
      </c>
      <c r="P167" t="s">
        <v>22</v>
      </c>
      <c r="Q167" t="s">
        <v>20</v>
      </c>
      <c r="R167">
        <f t="shared" si="29"/>
        <v>85</v>
      </c>
      <c r="S167">
        <f t="shared" si="28"/>
        <v>94</v>
      </c>
      <c r="T167">
        <v>0.184</v>
      </c>
      <c r="U167">
        <v>1.35</v>
      </c>
    </row>
    <row r="168" spans="7:21" x14ac:dyDescent="0.3">
      <c r="G168">
        <v>119</v>
      </c>
      <c r="H168" s="20">
        <f>$M$5</f>
        <v>-21.66</v>
      </c>
      <c r="I168" s="20">
        <f t="shared" ref="I168:I175" si="33">$F$11</f>
        <v>17.79</v>
      </c>
      <c r="J168" s="20">
        <f>M11</f>
        <v>4.1500000000000004</v>
      </c>
      <c r="N168">
        <v>137</v>
      </c>
      <c r="O168" t="s">
        <v>31</v>
      </c>
      <c r="P168" t="s">
        <v>22</v>
      </c>
      <c r="Q168" t="s">
        <v>20</v>
      </c>
      <c r="R168">
        <f t="shared" si="29"/>
        <v>94</v>
      </c>
      <c r="S168">
        <f t="shared" si="28"/>
        <v>103</v>
      </c>
      <c r="T168">
        <v>0.184</v>
      </c>
      <c r="U168">
        <v>1.35</v>
      </c>
    </row>
    <row r="169" spans="7:21" x14ac:dyDescent="0.3">
      <c r="G169">
        <v>120</v>
      </c>
      <c r="H169" s="20">
        <f>$N$5</f>
        <v>-14.44</v>
      </c>
      <c r="I169" s="20">
        <f t="shared" si="33"/>
        <v>17.79</v>
      </c>
      <c r="J169" s="20">
        <f>N11</f>
        <v>4.4000000000000004</v>
      </c>
      <c r="N169">
        <v>138</v>
      </c>
      <c r="O169" t="s">
        <v>31</v>
      </c>
      <c r="P169" t="s">
        <v>22</v>
      </c>
      <c r="Q169" t="s">
        <v>20</v>
      </c>
      <c r="R169">
        <f t="shared" si="29"/>
        <v>103</v>
      </c>
      <c r="S169">
        <f t="shared" si="28"/>
        <v>112</v>
      </c>
      <c r="T169">
        <v>0.184</v>
      </c>
      <c r="U169">
        <v>1.35</v>
      </c>
    </row>
    <row r="170" spans="7:21" x14ac:dyDescent="0.3">
      <c r="G170">
        <v>121</v>
      </c>
      <c r="H170" s="20">
        <f>$O$5</f>
        <v>-7.22</v>
      </c>
      <c r="I170" s="20">
        <f t="shared" si="33"/>
        <v>17.79</v>
      </c>
      <c r="J170" s="20">
        <f>O11</f>
        <v>4.5880000000000001</v>
      </c>
      <c r="N170">
        <v>139</v>
      </c>
      <c r="O170" t="s">
        <v>31</v>
      </c>
      <c r="P170" t="s">
        <v>22</v>
      </c>
      <c r="Q170" t="s">
        <v>20</v>
      </c>
      <c r="R170">
        <f t="shared" si="29"/>
        <v>112</v>
      </c>
      <c r="S170">
        <f t="shared" si="28"/>
        <v>121</v>
      </c>
      <c r="T170">
        <v>0.184</v>
      </c>
      <c r="U170">
        <v>1.35</v>
      </c>
    </row>
    <row r="171" spans="7:21" x14ac:dyDescent="0.3">
      <c r="G171">
        <v>122</v>
      </c>
      <c r="H171" s="20">
        <f>$P$5</f>
        <v>0</v>
      </c>
      <c r="I171" s="20">
        <f t="shared" si="33"/>
        <v>17.79</v>
      </c>
      <c r="J171" s="20">
        <f>P11</f>
        <v>4.6500000000000004</v>
      </c>
      <c r="N171">
        <v>140</v>
      </c>
      <c r="O171" t="s">
        <v>31</v>
      </c>
      <c r="P171" t="s">
        <v>22</v>
      </c>
      <c r="Q171" t="s">
        <v>20</v>
      </c>
      <c r="R171">
        <f t="shared" si="29"/>
        <v>121</v>
      </c>
      <c r="S171">
        <f t="shared" si="28"/>
        <v>130</v>
      </c>
      <c r="T171">
        <v>0.184</v>
      </c>
      <c r="U171">
        <v>1.35</v>
      </c>
    </row>
    <row r="172" spans="7:21" x14ac:dyDescent="0.3">
      <c r="G172">
        <v>123</v>
      </c>
      <c r="H172" s="20">
        <f>$Q$5</f>
        <v>7.22</v>
      </c>
      <c r="I172" s="20">
        <f t="shared" si="33"/>
        <v>17.79</v>
      </c>
      <c r="J172" s="20">
        <f>Q11</f>
        <v>4.5880000000000001</v>
      </c>
      <c r="N172">
        <v>141</v>
      </c>
      <c r="O172" t="s">
        <v>31</v>
      </c>
      <c r="P172" t="s">
        <v>22</v>
      </c>
      <c r="Q172" t="s">
        <v>20</v>
      </c>
      <c r="R172">
        <f t="shared" si="29"/>
        <v>130</v>
      </c>
      <c r="S172">
        <f t="shared" si="28"/>
        <v>139</v>
      </c>
      <c r="T172">
        <v>0.184</v>
      </c>
      <c r="U172">
        <v>1.35</v>
      </c>
    </row>
    <row r="173" spans="7:21" x14ac:dyDescent="0.3">
      <c r="G173">
        <v>124</v>
      </c>
      <c r="H173" s="20">
        <f>$R$5</f>
        <v>14.44</v>
      </c>
      <c r="I173" s="20">
        <f t="shared" si="33"/>
        <v>17.79</v>
      </c>
      <c r="J173" s="20">
        <f>R11</f>
        <v>4.4000000000000004</v>
      </c>
      <c r="N173">
        <v>142</v>
      </c>
      <c r="O173" t="s">
        <v>31</v>
      </c>
      <c r="P173" t="s">
        <v>22</v>
      </c>
      <c r="Q173" t="s">
        <v>20</v>
      </c>
      <c r="R173">
        <f t="shared" si="29"/>
        <v>139</v>
      </c>
      <c r="S173">
        <f t="shared" si="28"/>
        <v>148</v>
      </c>
      <c r="T173">
        <v>0.184</v>
      </c>
      <c r="U173">
        <v>1.35</v>
      </c>
    </row>
    <row r="174" spans="7:21" x14ac:dyDescent="0.3">
      <c r="G174">
        <v>125</v>
      </c>
      <c r="H174" s="20">
        <f>$S$5</f>
        <v>21.66</v>
      </c>
      <c r="I174" s="20">
        <f t="shared" si="33"/>
        <v>17.79</v>
      </c>
      <c r="J174" s="20">
        <f>S11</f>
        <v>4.1500000000000004</v>
      </c>
      <c r="N174">
        <v>143</v>
      </c>
      <c r="O174" t="s">
        <v>31</v>
      </c>
      <c r="P174" t="s">
        <v>22</v>
      </c>
      <c r="Q174" t="s">
        <v>20</v>
      </c>
      <c r="R174">
        <f t="shared" si="29"/>
        <v>148</v>
      </c>
      <c r="S174">
        <f t="shared" si="28"/>
        <v>157</v>
      </c>
      <c r="T174">
        <v>0.184</v>
      </c>
      <c r="U174">
        <v>1.35</v>
      </c>
    </row>
    <row r="175" spans="7:21" x14ac:dyDescent="0.3">
      <c r="G175">
        <v>126</v>
      </c>
      <c r="H175" s="20">
        <f>$T$5</f>
        <v>28.88</v>
      </c>
      <c r="I175" s="20">
        <f t="shared" si="33"/>
        <v>17.79</v>
      </c>
      <c r="J175" s="20">
        <f>T11</f>
        <v>3.794</v>
      </c>
      <c r="N175">
        <v>144</v>
      </c>
      <c r="O175" t="s">
        <v>31</v>
      </c>
      <c r="P175" t="s">
        <v>22</v>
      </c>
      <c r="Q175" t="s">
        <v>20</v>
      </c>
      <c r="R175">
        <f t="shared" si="29"/>
        <v>157</v>
      </c>
      <c r="S175">
        <f t="shared" si="28"/>
        <v>166</v>
      </c>
      <c r="T175">
        <v>0.184</v>
      </c>
      <c r="U175">
        <v>1.35</v>
      </c>
    </row>
    <row r="176" spans="7:21" x14ac:dyDescent="0.3">
      <c r="G176" s="18">
        <v>127</v>
      </c>
      <c r="H176" s="19">
        <f>$L$5</f>
        <v>-28.88</v>
      </c>
      <c r="I176" s="19">
        <f>$F$10</f>
        <v>20.9</v>
      </c>
      <c r="J176" s="19">
        <f>L10</f>
        <v>3.488</v>
      </c>
      <c r="N176">
        <v>145</v>
      </c>
      <c r="O176" t="s">
        <v>32</v>
      </c>
      <c r="P176" t="s">
        <v>22</v>
      </c>
      <c r="Q176" t="s">
        <v>20</v>
      </c>
      <c r="R176">
        <v>5</v>
      </c>
      <c r="S176">
        <f t="shared" si="28"/>
        <v>14</v>
      </c>
      <c r="T176">
        <v>0.184</v>
      </c>
      <c r="U176">
        <v>1.35</v>
      </c>
    </row>
    <row r="177" spans="7:21" x14ac:dyDescent="0.3">
      <c r="G177" s="18">
        <v>128</v>
      </c>
      <c r="H177" s="19">
        <f>$M$5</f>
        <v>-21.66</v>
      </c>
      <c r="I177" s="19">
        <f t="shared" ref="I177:I184" si="34">$F$10</f>
        <v>20.9</v>
      </c>
      <c r="J177" s="19">
        <f>M10</f>
        <v>3.8</v>
      </c>
      <c r="N177">
        <v>146</v>
      </c>
      <c r="O177" t="s">
        <v>32</v>
      </c>
      <c r="P177" t="s">
        <v>22</v>
      </c>
      <c r="Q177" t="s">
        <v>20</v>
      </c>
      <c r="R177">
        <f t="shared" si="29"/>
        <v>14</v>
      </c>
      <c r="S177">
        <f t="shared" si="28"/>
        <v>23</v>
      </c>
      <c r="T177">
        <v>0.184</v>
      </c>
      <c r="U177">
        <v>1.35</v>
      </c>
    </row>
    <row r="178" spans="7:21" x14ac:dyDescent="0.3">
      <c r="G178" s="18">
        <v>129</v>
      </c>
      <c r="H178" s="19">
        <f>$N$5</f>
        <v>-14.44</v>
      </c>
      <c r="I178" s="19">
        <f t="shared" si="34"/>
        <v>20.9</v>
      </c>
      <c r="J178" s="19">
        <f>N10</f>
        <v>4</v>
      </c>
      <c r="N178">
        <v>147</v>
      </c>
      <c r="O178" t="s">
        <v>32</v>
      </c>
      <c r="P178" t="s">
        <v>22</v>
      </c>
      <c r="Q178" t="s">
        <v>20</v>
      </c>
      <c r="R178">
        <f t="shared" si="29"/>
        <v>23</v>
      </c>
      <c r="S178">
        <f t="shared" si="28"/>
        <v>32</v>
      </c>
      <c r="T178">
        <v>0.184</v>
      </c>
      <c r="U178">
        <v>1.35</v>
      </c>
    </row>
    <row r="179" spans="7:21" x14ac:dyDescent="0.3">
      <c r="G179" s="18">
        <v>130</v>
      </c>
      <c r="H179" s="19">
        <f>$O$5</f>
        <v>-7.22</v>
      </c>
      <c r="I179" s="19">
        <f t="shared" si="34"/>
        <v>20.9</v>
      </c>
      <c r="J179" s="19">
        <f>O10</f>
        <v>4.1500000000000004</v>
      </c>
      <c r="N179">
        <v>148</v>
      </c>
      <c r="O179" t="s">
        <v>32</v>
      </c>
      <c r="P179" t="s">
        <v>22</v>
      </c>
      <c r="Q179" t="s">
        <v>20</v>
      </c>
      <c r="R179">
        <f t="shared" si="29"/>
        <v>32</v>
      </c>
      <c r="S179">
        <f t="shared" si="28"/>
        <v>41</v>
      </c>
      <c r="T179">
        <v>0.184</v>
      </c>
      <c r="U179">
        <v>1.35</v>
      </c>
    </row>
    <row r="180" spans="7:21" x14ac:dyDescent="0.3">
      <c r="G180" s="18">
        <v>131</v>
      </c>
      <c r="H180" s="19">
        <f>$P$5</f>
        <v>0</v>
      </c>
      <c r="I180" s="19">
        <f t="shared" si="34"/>
        <v>20.9</v>
      </c>
      <c r="J180" s="19">
        <f>P10</f>
        <v>4.2</v>
      </c>
      <c r="N180">
        <v>149</v>
      </c>
      <c r="O180" t="s">
        <v>32</v>
      </c>
      <c r="P180" t="s">
        <v>22</v>
      </c>
      <c r="Q180" t="s">
        <v>20</v>
      </c>
      <c r="R180">
        <f t="shared" si="29"/>
        <v>41</v>
      </c>
      <c r="S180">
        <f t="shared" si="28"/>
        <v>50</v>
      </c>
      <c r="T180">
        <v>0.184</v>
      </c>
      <c r="U180">
        <v>1.35</v>
      </c>
    </row>
    <row r="181" spans="7:21" x14ac:dyDescent="0.3">
      <c r="G181" s="18">
        <v>132</v>
      </c>
      <c r="H181" s="19">
        <f>$Q$5</f>
        <v>7.22</v>
      </c>
      <c r="I181" s="19">
        <f t="shared" si="34"/>
        <v>20.9</v>
      </c>
      <c r="J181" s="19">
        <f>Q10</f>
        <v>4.1500000000000004</v>
      </c>
      <c r="N181">
        <v>150</v>
      </c>
      <c r="O181" t="s">
        <v>32</v>
      </c>
      <c r="P181" t="s">
        <v>22</v>
      </c>
      <c r="Q181" t="s">
        <v>20</v>
      </c>
      <c r="R181">
        <f t="shared" si="29"/>
        <v>50</v>
      </c>
      <c r="S181">
        <f t="shared" si="28"/>
        <v>59</v>
      </c>
      <c r="T181">
        <v>0.184</v>
      </c>
      <c r="U181">
        <v>1.35</v>
      </c>
    </row>
    <row r="182" spans="7:21" x14ac:dyDescent="0.3">
      <c r="G182" s="18">
        <v>133</v>
      </c>
      <c r="H182" s="19">
        <f>$R$5</f>
        <v>14.44</v>
      </c>
      <c r="I182" s="19">
        <f t="shared" si="34"/>
        <v>20.9</v>
      </c>
      <c r="J182" s="19">
        <f>R10</f>
        <v>4</v>
      </c>
      <c r="N182">
        <v>151</v>
      </c>
      <c r="O182" t="s">
        <v>32</v>
      </c>
      <c r="P182" t="s">
        <v>22</v>
      </c>
      <c r="Q182" t="s">
        <v>20</v>
      </c>
      <c r="R182">
        <f t="shared" si="29"/>
        <v>59</v>
      </c>
      <c r="S182">
        <f t="shared" si="28"/>
        <v>68</v>
      </c>
      <c r="T182">
        <v>0.184</v>
      </c>
      <c r="U182">
        <v>1.35</v>
      </c>
    </row>
    <row r="183" spans="7:21" x14ac:dyDescent="0.3">
      <c r="G183" s="18">
        <v>134</v>
      </c>
      <c r="H183" s="19">
        <f>$S$5</f>
        <v>21.66</v>
      </c>
      <c r="I183" s="19">
        <f t="shared" si="34"/>
        <v>20.9</v>
      </c>
      <c r="J183" s="19">
        <f>S10</f>
        <v>3.8</v>
      </c>
      <c r="N183">
        <v>152</v>
      </c>
      <c r="O183" t="s">
        <v>32</v>
      </c>
      <c r="P183" t="s">
        <v>22</v>
      </c>
      <c r="Q183" t="s">
        <v>20</v>
      </c>
      <c r="R183">
        <f t="shared" si="29"/>
        <v>68</v>
      </c>
      <c r="S183">
        <f t="shared" si="28"/>
        <v>77</v>
      </c>
      <c r="T183">
        <v>0.184</v>
      </c>
      <c r="U183">
        <v>1.35</v>
      </c>
    </row>
    <row r="184" spans="7:21" x14ac:dyDescent="0.3">
      <c r="G184" s="18">
        <v>135</v>
      </c>
      <c r="H184" s="19">
        <f>$T$5</f>
        <v>28.88</v>
      </c>
      <c r="I184" s="19">
        <f t="shared" si="34"/>
        <v>20.9</v>
      </c>
      <c r="J184" s="19">
        <f>T10</f>
        <v>3.488</v>
      </c>
      <c r="N184">
        <v>153</v>
      </c>
      <c r="O184" t="s">
        <v>32</v>
      </c>
      <c r="P184" t="s">
        <v>22</v>
      </c>
      <c r="Q184" t="s">
        <v>20</v>
      </c>
      <c r="R184">
        <f t="shared" si="29"/>
        <v>77</v>
      </c>
      <c r="S184">
        <f t="shared" si="28"/>
        <v>86</v>
      </c>
      <c r="T184">
        <v>0.184</v>
      </c>
      <c r="U184">
        <v>1.35</v>
      </c>
    </row>
    <row r="185" spans="7:21" x14ac:dyDescent="0.3">
      <c r="G185">
        <v>136</v>
      </c>
      <c r="H185" s="20">
        <f>$L$5</f>
        <v>-28.88</v>
      </c>
      <c r="I185" s="20">
        <f>$F$9</f>
        <v>24.01</v>
      </c>
      <c r="J185" s="20">
        <f>L9</f>
        <v>3.0939999999999999</v>
      </c>
      <c r="N185">
        <v>154</v>
      </c>
      <c r="O185" t="s">
        <v>32</v>
      </c>
      <c r="P185" t="s">
        <v>22</v>
      </c>
      <c r="Q185" t="s">
        <v>20</v>
      </c>
      <c r="R185">
        <f t="shared" si="29"/>
        <v>86</v>
      </c>
      <c r="S185">
        <f t="shared" si="28"/>
        <v>95</v>
      </c>
      <c r="T185">
        <v>0.184</v>
      </c>
      <c r="U185">
        <v>1.35</v>
      </c>
    </row>
    <row r="186" spans="7:21" x14ac:dyDescent="0.3">
      <c r="G186">
        <v>137</v>
      </c>
      <c r="H186" s="20">
        <f>$M$5</f>
        <v>-21.66</v>
      </c>
      <c r="I186" s="20">
        <f t="shared" ref="I186:I193" si="35">$F$9</f>
        <v>24.01</v>
      </c>
      <c r="J186" s="20">
        <f>M9</f>
        <v>3.35</v>
      </c>
      <c r="N186">
        <v>155</v>
      </c>
      <c r="O186" t="s">
        <v>32</v>
      </c>
      <c r="P186" t="s">
        <v>22</v>
      </c>
      <c r="Q186" t="s">
        <v>20</v>
      </c>
      <c r="R186">
        <f t="shared" si="29"/>
        <v>95</v>
      </c>
      <c r="S186">
        <f t="shared" si="28"/>
        <v>104</v>
      </c>
      <c r="T186">
        <v>0.184</v>
      </c>
      <c r="U186">
        <v>1.35</v>
      </c>
    </row>
    <row r="187" spans="7:21" x14ac:dyDescent="0.3">
      <c r="G187">
        <v>138</v>
      </c>
      <c r="H187" s="20">
        <f>$N$5</f>
        <v>-14.44</v>
      </c>
      <c r="I187" s="20">
        <f t="shared" si="35"/>
        <v>24.01</v>
      </c>
      <c r="J187" s="20">
        <f>N9</f>
        <v>3.5</v>
      </c>
      <c r="N187">
        <v>156</v>
      </c>
      <c r="O187" t="s">
        <v>32</v>
      </c>
      <c r="P187" t="s">
        <v>22</v>
      </c>
      <c r="Q187" t="s">
        <v>20</v>
      </c>
      <c r="R187">
        <f t="shared" si="29"/>
        <v>104</v>
      </c>
      <c r="S187">
        <f t="shared" si="28"/>
        <v>113</v>
      </c>
      <c r="T187">
        <v>0.184</v>
      </c>
      <c r="U187">
        <v>1.35</v>
      </c>
    </row>
    <row r="188" spans="7:21" x14ac:dyDescent="0.3">
      <c r="G188">
        <v>139</v>
      </c>
      <c r="H188" s="20">
        <f>$O$5</f>
        <v>-7.22</v>
      </c>
      <c r="I188" s="20">
        <f t="shared" si="35"/>
        <v>24.01</v>
      </c>
      <c r="J188" s="20">
        <f>O9</f>
        <v>3.613</v>
      </c>
      <c r="N188">
        <v>157</v>
      </c>
      <c r="O188" t="s">
        <v>32</v>
      </c>
      <c r="P188" t="s">
        <v>22</v>
      </c>
      <c r="Q188" t="s">
        <v>20</v>
      </c>
      <c r="R188">
        <f t="shared" si="29"/>
        <v>113</v>
      </c>
      <c r="S188">
        <f t="shared" si="28"/>
        <v>122</v>
      </c>
      <c r="T188">
        <v>0.184</v>
      </c>
      <c r="U188">
        <v>1.35</v>
      </c>
    </row>
    <row r="189" spans="7:21" x14ac:dyDescent="0.3">
      <c r="G189">
        <v>140</v>
      </c>
      <c r="H189" s="20">
        <f>$P$5</f>
        <v>0</v>
      </c>
      <c r="I189" s="20">
        <f t="shared" si="35"/>
        <v>24.01</v>
      </c>
      <c r="J189" s="20">
        <f>P9</f>
        <v>3.65</v>
      </c>
      <c r="N189">
        <v>158</v>
      </c>
      <c r="O189" t="s">
        <v>32</v>
      </c>
      <c r="P189" t="s">
        <v>22</v>
      </c>
      <c r="Q189" t="s">
        <v>20</v>
      </c>
      <c r="R189">
        <f t="shared" si="29"/>
        <v>122</v>
      </c>
      <c r="S189">
        <f t="shared" si="28"/>
        <v>131</v>
      </c>
      <c r="T189">
        <v>0.184</v>
      </c>
      <c r="U189">
        <v>1.35</v>
      </c>
    </row>
    <row r="190" spans="7:21" x14ac:dyDescent="0.3">
      <c r="G190">
        <v>141</v>
      </c>
      <c r="H190" s="20">
        <f>$Q$5</f>
        <v>7.22</v>
      </c>
      <c r="I190" s="20">
        <f t="shared" si="35"/>
        <v>24.01</v>
      </c>
      <c r="J190" s="20">
        <f>Q9</f>
        <v>3.613</v>
      </c>
      <c r="N190">
        <v>159</v>
      </c>
      <c r="O190" t="s">
        <v>32</v>
      </c>
      <c r="P190" t="s">
        <v>22</v>
      </c>
      <c r="Q190" t="s">
        <v>20</v>
      </c>
      <c r="R190">
        <f t="shared" si="29"/>
        <v>131</v>
      </c>
      <c r="S190">
        <f t="shared" si="28"/>
        <v>140</v>
      </c>
      <c r="T190">
        <v>0.184</v>
      </c>
      <c r="U190">
        <v>1.35</v>
      </c>
    </row>
    <row r="191" spans="7:21" x14ac:dyDescent="0.3">
      <c r="G191">
        <v>142</v>
      </c>
      <c r="H191" s="20">
        <f>$R$5</f>
        <v>14.44</v>
      </c>
      <c r="I191" s="20">
        <f t="shared" si="35"/>
        <v>24.01</v>
      </c>
      <c r="J191" s="20">
        <f>R9</f>
        <v>3.5</v>
      </c>
      <c r="N191">
        <v>160</v>
      </c>
      <c r="O191" t="s">
        <v>32</v>
      </c>
      <c r="P191" t="s">
        <v>22</v>
      </c>
      <c r="Q191" t="s">
        <v>20</v>
      </c>
      <c r="R191">
        <f t="shared" si="29"/>
        <v>140</v>
      </c>
      <c r="S191">
        <f t="shared" si="28"/>
        <v>149</v>
      </c>
      <c r="T191">
        <v>0.184</v>
      </c>
      <c r="U191">
        <v>1.35</v>
      </c>
    </row>
    <row r="192" spans="7:21" x14ac:dyDescent="0.3">
      <c r="G192">
        <v>143</v>
      </c>
      <c r="H192" s="20">
        <f>$S$5</f>
        <v>21.66</v>
      </c>
      <c r="I192" s="20">
        <f t="shared" si="35"/>
        <v>24.01</v>
      </c>
      <c r="J192" s="20">
        <f>S9</f>
        <v>3.35</v>
      </c>
      <c r="N192">
        <v>161</v>
      </c>
      <c r="O192" t="s">
        <v>32</v>
      </c>
      <c r="P192" t="s">
        <v>22</v>
      </c>
      <c r="Q192" t="s">
        <v>20</v>
      </c>
      <c r="R192">
        <f t="shared" si="29"/>
        <v>149</v>
      </c>
      <c r="S192">
        <f t="shared" si="28"/>
        <v>158</v>
      </c>
      <c r="T192">
        <v>0.184</v>
      </c>
      <c r="U192">
        <v>1.35</v>
      </c>
    </row>
    <row r="193" spans="7:21" x14ac:dyDescent="0.3">
      <c r="G193">
        <v>144</v>
      </c>
      <c r="H193" s="20">
        <f>$T$5</f>
        <v>28.88</v>
      </c>
      <c r="I193" s="20">
        <f t="shared" si="35"/>
        <v>24.01</v>
      </c>
      <c r="J193" s="20">
        <f>T9</f>
        <v>3.0939999999999999</v>
      </c>
      <c r="N193">
        <v>162</v>
      </c>
      <c r="O193" t="s">
        <v>32</v>
      </c>
      <c r="P193" t="s">
        <v>22</v>
      </c>
      <c r="Q193" t="s">
        <v>20</v>
      </c>
      <c r="R193">
        <f t="shared" si="29"/>
        <v>158</v>
      </c>
      <c r="S193">
        <f t="shared" si="28"/>
        <v>167</v>
      </c>
      <c r="T193">
        <v>0.184</v>
      </c>
      <c r="U193">
        <v>1.35</v>
      </c>
    </row>
    <row r="194" spans="7:21" x14ac:dyDescent="0.3">
      <c r="G194" s="18">
        <v>145</v>
      </c>
      <c r="H194" s="19">
        <f>$L$5</f>
        <v>-28.88</v>
      </c>
      <c r="I194" s="19">
        <f>$F$8</f>
        <v>27.12</v>
      </c>
      <c r="J194" s="19">
        <f>L8</f>
        <v>2.613</v>
      </c>
      <c r="N194">
        <v>163</v>
      </c>
      <c r="O194" t="s">
        <v>33</v>
      </c>
      <c r="P194" t="s">
        <v>22</v>
      </c>
      <c r="Q194" t="s">
        <v>20</v>
      </c>
      <c r="R194">
        <v>6</v>
      </c>
      <c r="S194">
        <f t="shared" si="28"/>
        <v>15</v>
      </c>
      <c r="T194">
        <v>0.184</v>
      </c>
      <c r="U194">
        <v>1.35</v>
      </c>
    </row>
    <row r="195" spans="7:21" x14ac:dyDescent="0.3">
      <c r="G195" s="18">
        <v>146</v>
      </c>
      <c r="H195" s="19">
        <f>$M$5</f>
        <v>-21.66</v>
      </c>
      <c r="I195" s="19">
        <f t="shared" ref="I195:I202" si="36">$F$8</f>
        <v>27.12</v>
      </c>
      <c r="J195" s="19">
        <f>M8</f>
        <v>2.8</v>
      </c>
      <c r="N195">
        <v>164</v>
      </c>
      <c r="O195" t="s">
        <v>33</v>
      </c>
      <c r="P195" t="s">
        <v>22</v>
      </c>
      <c r="Q195" t="s">
        <v>20</v>
      </c>
      <c r="R195">
        <f t="shared" si="29"/>
        <v>15</v>
      </c>
      <c r="S195">
        <f t="shared" si="28"/>
        <v>24</v>
      </c>
      <c r="T195">
        <v>0.184</v>
      </c>
      <c r="U195">
        <v>1.35</v>
      </c>
    </row>
    <row r="196" spans="7:21" x14ac:dyDescent="0.3">
      <c r="G196" s="18">
        <v>147</v>
      </c>
      <c r="H196" s="19">
        <f>$N$5</f>
        <v>-14.44</v>
      </c>
      <c r="I196" s="19">
        <f t="shared" si="36"/>
        <v>27.12</v>
      </c>
      <c r="J196" s="19">
        <f>N8</f>
        <v>2.9</v>
      </c>
      <c r="N196">
        <v>165</v>
      </c>
      <c r="O196" t="s">
        <v>33</v>
      </c>
      <c r="P196" t="s">
        <v>22</v>
      </c>
      <c r="Q196" t="s">
        <v>20</v>
      </c>
      <c r="R196">
        <f t="shared" si="29"/>
        <v>24</v>
      </c>
      <c r="S196">
        <f t="shared" si="28"/>
        <v>33</v>
      </c>
      <c r="T196">
        <v>0.184</v>
      </c>
      <c r="U196">
        <v>1.35</v>
      </c>
    </row>
    <row r="197" spans="7:21" x14ac:dyDescent="0.3">
      <c r="G197" s="18">
        <v>148</v>
      </c>
      <c r="H197" s="19">
        <f>$O$5</f>
        <v>-7.22</v>
      </c>
      <c r="I197" s="19">
        <f t="shared" si="36"/>
        <v>27.12</v>
      </c>
      <c r="J197" s="19">
        <f>O8</f>
        <v>2.9750000000000001</v>
      </c>
      <c r="N197">
        <v>166</v>
      </c>
      <c r="O197" t="s">
        <v>33</v>
      </c>
      <c r="P197" t="s">
        <v>22</v>
      </c>
      <c r="Q197" t="s">
        <v>20</v>
      </c>
      <c r="R197">
        <f t="shared" si="29"/>
        <v>33</v>
      </c>
      <c r="S197">
        <f t="shared" ref="S197:S267" si="37">R197+9</f>
        <v>42</v>
      </c>
      <c r="T197">
        <v>0.184</v>
      </c>
      <c r="U197">
        <v>1.35</v>
      </c>
    </row>
    <row r="198" spans="7:21" x14ac:dyDescent="0.3">
      <c r="G198" s="18">
        <v>149</v>
      </c>
      <c r="H198" s="19">
        <f>$P$5</f>
        <v>0</v>
      </c>
      <c r="I198" s="19">
        <f t="shared" si="36"/>
        <v>27.12</v>
      </c>
      <c r="J198" s="19">
        <f>P8</f>
        <v>3</v>
      </c>
      <c r="N198">
        <v>167</v>
      </c>
      <c r="O198" t="s">
        <v>33</v>
      </c>
      <c r="P198" t="s">
        <v>22</v>
      </c>
      <c r="Q198" t="s">
        <v>20</v>
      </c>
      <c r="R198">
        <f t="shared" ref="R198:R211" si="38">S197</f>
        <v>42</v>
      </c>
      <c r="S198">
        <f t="shared" si="37"/>
        <v>51</v>
      </c>
      <c r="T198">
        <v>0.184</v>
      </c>
      <c r="U198">
        <v>1.35</v>
      </c>
    </row>
    <row r="199" spans="7:21" x14ac:dyDescent="0.3">
      <c r="G199" s="18">
        <v>150</v>
      </c>
      <c r="H199" s="19">
        <f>$Q$5</f>
        <v>7.22</v>
      </c>
      <c r="I199" s="19">
        <f t="shared" si="36"/>
        <v>27.12</v>
      </c>
      <c r="J199" s="19">
        <f>Q8</f>
        <v>2.9750000000000001</v>
      </c>
      <c r="N199">
        <v>168</v>
      </c>
      <c r="O199" t="s">
        <v>33</v>
      </c>
      <c r="P199" t="s">
        <v>22</v>
      </c>
      <c r="Q199" t="s">
        <v>20</v>
      </c>
      <c r="R199">
        <f t="shared" si="38"/>
        <v>51</v>
      </c>
      <c r="S199">
        <f t="shared" si="37"/>
        <v>60</v>
      </c>
      <c r="T199">
        <v>0.184</v>
      </c>
      <c r="U199">
        <v>1.35</v>
      </c>
    </row>
    <row r="200" spans="7:21" x14ac:dyDescent="0.3">
      <c r="G200" s="18">
        <v>151</v>
      </c>
      <c r="H200" s="19">
        <f>$R$5</f>
        <v>14.44</v>
      </c>
      <c r="I200" s="19">
        <f t="shared" si="36"/>
        <v>27.12</v>
      </c>
      <c r="J200" s="19">
        <f>R8</f>
        <v>2.9</v>
      </c>
      <c r="N200">
        <v>169</v>
      </c>
      <c r="O200" t="s">
        <v>33</v>
      </c>
      <c r="P200" t="s">
        <v>22</v>
      </c>
      <c r="Q200" t="s">
        <v>20</v>
      </c>
      <c r="R200">
        <f t="shared" si="38"/>
        <v>60</v>
      </c>
      <c r="S200">
        <f t="shared" si="37"/>
        <v>69</v>
      </c>
      <c r="T200">
        <v>0.184</v>
      </c>
      <c r="U200">
        <v>1.35</v>
      </c>
    </row>
    <row r="201" spans="7:21" x14ac:dyDescent="0.3">
      <c r="G201" s="18">
        <v>152</v>
      </c>
      <c r="H201" s="19">
        <f>$S$5</f>
        <v>21.66</v>
      </c>
      <c r="I201" s="19">
        <f t="shared" si="36"/>
        <v>27.12</v>
      </c>
      <c r="J201" s="19">
        <f>S8</f>
        <v>2.8</v>
      </c>
      <c r="N201">
        <v>170</v>
      </c>
      <c r="O201" t="s">
        <v>33</v>
      </c>
      <c r="P201" t="s">
        <v>22</v>
      </c>
      <c r="Q201" t="s">
        <v>20</v>
      </c>
      <c r="R201">
        <f t="shared" si="38"/>
        <v>69</v>
      </c>
      <c r="S201">
        <f t="shared" si="37"/>
        <v>78</v>
      </c>
      <c r="T201">
        <v>0.184</v>
      </c>
      <c r="U201">
        <v>1.35</v>
      </c>
    </row>
    <row r="202" spans="7:21" x14ac:dyDescent="0.3">
      <c r="G202" s="18">
        <v>153</v>
      </c>
      <c r="H202" s="19">
        <f>$T$5</f>
        <v>28.88</v>
      </c>
      <c r="I202" s="19">
        <f t="shared" si="36"/>
        <v>27.12</v>
      </c>
      <c r="J202" s="19">
        <f>T8</f>
        <v>2.613</v>
      </c>
      <c r="N202">
        <v>171</v>
      </c>
      <c r="O202" t="s">
        <v>33</v>
      </c>
      <c r="P202" t="s">
        <v>22</v>
      </c>
      <c r="Q202" t="s">
        <v>20</v>
      </c>
      <c r="R202">
        <f t="shared" si="38"/>
        <v>78</v>
      </c>
      <c r="S202">
        <f t="shared" si="37"/>
        <v>87</v>
      </c>
      <c r="T202">
        <v>0.184</v>
      </c>
      <c r="U202">
        <v>1.35</v>
      </c>
    </row>
    <row r="203" spans="7:21" x14ac:dyDescent="0.3">
      <c r="G203">
        <v>154</v>
      </c>
      <c r="H203" s="20">
        <f>$L$5</f>
        <v>-28.88</v>
      </c>
      <c r="I203" s="20">
        <f>$F$7</f>
        <v>30.23</v>
      </c>
      <c r="J203" s="20">
        <f>L7</f>
        <v>2</v>
      </c>
      <c r="N203">
        <v>172</v>
      </c>
      <c r="O203" t="s">
        <v>33</v>
      </c>
      <c r="P203" t="s">
        <v>22</v>
      </c>
      <c r="Q203" t="s">
        <v>20</v>
      </c>
      <c r="R203">
        <f t="shared" si="38"/>
        <v>87</v>
      </c>
      <c r="S203">
        <f t="shared" si="37"/>
        <v>96</v>
      </c>
      <c r="T203">
        <v>0.184</v>
      </c>
      <c r="U203">
        <v>1.35</v>
      </c>
    </row>
    <row r="204" spans="7:21" x14ac:dyDescent="0.3">
      <c r="G204">
        <v>155</v>
      </c>
      <c r="H204" s="20">
        <f>$M$5</f>
        <v>-21.66</v>
      </c>
      <c r="I204" s="20">
        <f t="shared" ref="I204:I211" si="39">$F$7</f>
        <v>30.23</v>
      </c>
      <c r="J204" s="20">
        <f>M7</f>
        <v>2.1</v>
      </c>
      <c r="N204">
        <v>173</v>
      </c>
      <c r="O204" t="s">
        <v>33</v>
      </c>
      <c r="P204" t="s">
        <v>22</v>
      </c>
      <c r="Q204" t="s">
        <v>20</v>
      </c>
      <c r="R204">
        <f t="shared" si="38"/>
        <v>96</v>
      </c>
      <c r="S204">
        <f t="shared" si="37"/>
        <v>105</v>
      </c>
      <c r="T204">
        <v>0.184</v>
      </c>
      <c r="U204">
        <v>1.35</v>
      </c>
    </row>
    <row r="205" spans="7:21" x14ac:dyDescent="0.3">
      <c r="G205">
        <v>156</v>
      </c>
      <c r="H205" s="20">
        <f>$N$5</f>
        <v>-14.44</v>
      </c>
      <c r="I205" s="20">
        <f t="shared" si="39"/>
        <v>30.23</v>
      </c>
      <c r="J205" s="20">
        <f>N7</f>
        <v>2.15</v>
      </c>
      <c r="N205">
        <v>174</v>
      </c>
      <c r="O205" t="s">
        <v>33</v>
      </c>
      <c r="P205" t="s">
        <v>22</v>
      </c>
      <c r="Q205" t="s">
        <v>20</v>
      </c>
      <c r="R205">
        <f t="shared" si="38"/>
        <v>105</v>
      </c>
      <c r="S205">
        <f t="shared" si="37"/>
        <v>114</v>
      </c>
      <c r="T205">
        <v>0.184</v>
      </c>
      <c r="U205">
        <v>1.35</v>
      </c>
    </row>
    <row r="206" spans="7:21" x14ac:dyDescent="0.3">
      <c r="G206">
        <v>157</v>
      </c>
      <c r="H206" s="20">
        <f>$O$5</f>
        <v>-7.22</v>
      </c>
      <c r="I206" s="20">
        <f t="shared" si="39"/>
        <v>30.23</v>
      </c>
      <c r="J206" s="20">
        <f>O7</f>
        <v>2.1880000000000002</v>
      </c>
      <c r="N206">
        <v>175</v>
      </c>
      <c r="O206" t="s">
        <v>33</v>
      </c>
      <c r="P206" t="s">
        <v>22</v>
      </c>
      <c r="Q206" t="s">
        <v>20</v>
      </c>
      <c r="R206">
        <f t="shared" si="38"/>
        <v>114</v>
      </c>
      <c r="S206">
        <f t="shared" si="37"/>
        <v>123</v>
      </c>
      <c r="T206">
        <v>0.184</v>
      </c>
      <c r="U206">
        <v>1.35</v>
      </c>
    </row>
    <row r="207" spans="7:21" x14ac:dyDescent="0.3">
      <c r="G207">
        <v>158</v>
      </c>
      <c r="H207" s="20">
        <f>$P$5</f>
        <v>0</v>
      </c>
      <c r="I207" s="20">
        <f t="shared" si="39"/>
        <v>30.23</v>
      </c>
      <c r="J207" s="20">
        <f>P7</f>
        <v>2.2000000000000002</v>
      </c>
      <c r="N207">
        <v>176</v>
      </c>
      <c r="O207" t="s">
        <v>33</v>
      </c>
      <c r="P207" t="s">
        <v>22</v>
      </c>
      <c r="Q207" t="s">
        <v>20</v>
      </c>
      <c r="R207">
        <f t="shared" si="38"/>
        <v>123</v>
      </c>
      <c r="S207">
        <f t="shared" si="37"/>
        <v>132</v>
      </c>
      <c r="T207">
        <v>0.184</v>
      </c>
      <c r="U207">
        <v>1.35</v>
      </c>
    </row>
    <row r="208" spans="7:21" x14ac:dyDescent="0.3">
      <c r="G208">
        <v>159</v>
      </c>
      <c r="H208" s="20">
        <f>$Q$5</f>
        <v>7.22</v>
      </c>
      <c r="I208" s="20">
        <f t="shared" si="39"/>
        <v>30.23</v>
      </c>
      <c r="J208" s="20">
        <f>Q7</f>
        <v>2.1880000000000002</v>
      </c>
      <c r="N208">
        <v>177</v>
      </c>
      <c r="O208" t="s">
        <v>33</v>
      </c>
      <c r="P208" t="s">
        <v>22</v>
      </c>
      <c r="Q208" t="s">
        <v>20</v>
      </c>
      <c r="R208">
        <f t="shared" si="38"/>
        <v>132</v>
      </c>
      <c r="S208">
        <f t="shared" si="37"/>
        <v>141</v>
      </c>
      <c r="T208">
        <v>0.184</v>
      </c>
      <c r="U208">
        <v>1.35</v>
      </c>
    </row>
    <row r="209" spans="7:21" x14ac:dyDescent="0.3">
      <c r="G209">
        <v>160</v>
      </c>
      <c r="H209" s="20">
        <f>$R$5</f>
        <v>14.44</v>
      </c>
      <c r="I209" s="20">
        <f t="shared" si="39"/>
        <v>30.23</v>
      </c>
      <c r="J209" s="20">
        <f>R7</f>
        <v>2.15</v>
      </c>
      <c r="N209">
        <v>178</v>
      </c>
      <c r="O209" t="s">
        <v>33</v>
      </c>
      <c r="P209" t="s">
        <v>22</v>
      </c>
      <c r="Q209" t="s">
        <v>20</v>
      </c>
      <c r="R209">
        <f t="shared" si="38"/>
        <v>141</v>
      </c>
      <c r="S209">
        <f t="shared" si="37"/>
        <v>150</v>
      </c>
      <c r="T209">
        <v>0.184</v>
      </c>
      <c r="U209">
        <v>1.35</v>
      </c>
    </row>
    <row r="210" spans="7:21" x14ac:dyDescent="0.3">
      <c r="G210">
        <v>161</v>
      </c>
      <c r="H210" s="20">
        <f>$S$5</f>
        <v>21.66</v>
      </c>
      <c r="I210" s="20">
        <f t="shared" si="39"/>
        <v>30.23</v>
      </c>
      <c r="J210" s="20">
        <f>S7</f>
        <v>2.1</v>
      </c>
      <c r="N210">
        <v>179</v>
      </c>
      <c r="O210" t="s">
        <v>33</v>
      </c>
      <c r="P210" t="s">
        <v>22</v>
      </c>
      <c r="Q210" t="s">
        <v>20</v>
      </c>
      <c r="R210">
        <f t="shared" si="38"/>
        <v>150</v>
      </c>
      <c r="S210">
        <f t="shared" si="37"/>
        <v>159</v>
      </c>
      <c r="T210">
        <v>0.184</v>
      </c>
      <c r="U210">
        <v>1.35</v>
      </c>
    </row>
    <row r="211" spans="7:21" x14ac:dyDescent="0.3">
      <c r="G211">
        <v>162</v>
      </c>
      <c r="H211" s="20">
        <f>$T$5</f>
        <v>28.88</v>
      </c>
      <c r="I211" s="20">
        <f t="shared" si="39"/>
        <v>30.23</v>
      </c>
      <c r="J211" s="20">
        <f>T7</f>
        <v>2</v>
      </c>
      <c r="N211">
        <v>180</v>
      </c>
      <c r="O211" t="s">
        <v>33</v>
      </c>
      <c r="P211" t="s">
        <v>22</v>
      </c>
      <c r="Q211" t="s">
        <v>20</v>
      </c>
      <c r="R211">
        <f t="shared" si="38"/>
        <v>159</v>
      </c>
      <c r="S211">
        <f t="shared" si="37"/>
        <v>168</v>
      </c>
      <c r="T211">
        <v>0.184</v>
      </c>
      <c r="U211">
        <v>1.35</v>
      </c>
    </row>
    <row r="212" spans="7:21" x14ac:dyDescent="0.3">
      <c r="G212" s="18">
        <v>163</v>
      </c>
      <c r="H212" s="19">
        <f>$L$5</f>
        <v>-28.88</v>
      </c>
      <c r="I212" s="19">
        <f>$F$6</f>
        <v>33.340000000000003</v>
      </c>
      <c r="J212" s="19">
        <f>L6</f>
        <v>1.3</v>
      </c>
      <c r="N212">
        <v>181</v>
      </c>
      <c r="O212" t="s">
        <v>34</v>
      </c>
      <c r="P212" t="s">
        <v>22</v>
      </c>
      <c r="Q212" t="s">
        <v>20</v>
      </c>
      <c r="R212">
        <v>7</v>
      </c>
      <c r="S212">
        <f t="shared" si="37"/>
        <v>16</v>
      </c>
      <c r="T212">
        <v>0.184</v>
      </c>
      <c r="U212">
        <v>1.35</v>
      </c>
    </row>
    <row r="213" spans="7:21" x14ac:dyDescent="0.3">
      <c r="G213" s="18">
        <v>164</v>
      </c>
      <c r="H213" s="19">
        <f>$M$5</f>
        <v>-21.66</v>
      </c>
      <c r="I213" s="19">
        <f t="shared" ref="I213:I220" si="40">$F$6</f>
        <v>33.340000000000003</v>
      </c>
      <c r="J213" s="19">
        <f>M6</f>
        <v>1.3</v>
      </c>
      <c r="N213">
        <v>182</v>
      </c>
      <c r="O213" t="s">
        <v>34</v>
      </c>
      <c r="P213" t="s">
        <v>22</v>
      </c>
      <c r="Q213" t="s">
        <v>20</v>
      </c>
      <c r="R213">
        <f t="shared" ref="R213:R287" si="41">S212</f>
        <v>16</v>
      </c>
      <c r="S213">
        <f t="shared" si="37"/>
        <v>25</v>
      </c>
      <c r="T213">
        <v>0.184</v>
      </c>
      <c r="U213">
        <v>1.35</v>
      </c>
    </row>
    <row r="214" spans="7:21" x14ac:dyDescent="0.3">
      <c r="G214" s="18">
        <v>165</v>
      </c>
      <c r="H214" s="19">
        <f>$N$5</f>
        <v>-14.44</v>
      </c>
      <c r="I214" s="19">
        <f t="shared" si="40"/>
        <v>33.340000000000003</v>
      </c>
      <c r="J214" s="19">
        <f>N6</f>
        <v>1.3</v>
      </c>
      <c r="N214">
        <v>183</v>
      </c>
      <c r="O214" t="s">
        <v>34</v>
      </c>
      <c r="P214" t="s">
        <v>22</v>
      </c>
      <c r="Q214" t="s">
        <v>20</v>
      </c>
      <c r="R214">
        <f t="shared" si="41"/>
        <v>25</v>
      </c>
      <c r="S214">
        <f t="shared" si="37"/>
        <v>34</v>
      </c>
      <c r="T214">
        <v>0.184</v>
      </c>
      <c r="U214">
        <v>1.35</v>
      </c>
    </row>
    <row r="215" spans="7:21" x14ac:dyDescent="0.3">
      <c r="G215" s="18">
        <v>166</v>
      </c>
      <c r="H215" s="19">
        <f>$O$5</f>
        <v>-7.22</v>
      </c>
      <c r="I215" s="19">
        <f t="shared" si="40"/>
        <v>33.340000000000003</v>
      </c>
      <c r="J215" s="19">
        <f>O6</f>
        <v>1.3</v>
      </c>
      <c r="N215">
        <v>184</v>
      </c>
      <c r="O215" t="s">
        <v>34</v>
      </c>
      <c r="P215" t="s">
        <v>22</v>
      </c>
      <c r="Q215" t="s">
        <v>20</v>
      </c>
      <c r="R215">
        <f t="shared" si="41"/>
        <v>34</v>
      </c>
      <c r="S215">
        <f t="shared" si="37"/>
        <v>43</v>
      </c>
      <c r="T215">
        <v>0.184</v>
      </c>
      <c r="U215">
        <v>1.35</v>
      </c>
    </row>
    <row r="216" spans="7:21" x14ac:dyDescent="0.3">
      <c r="G216" s="18">
        <v>167</v>
      </c>
      <c r="H216" s="19">
        <f>$P$5</f>
        <v>0</v>
      </c>
      <c r="I216" s="19">
        <f t="shared" si="40"/>
        <v>33.340000000000003</v>
      </c>
      <c r="J216" s="19">
        <f>P6</f>
        <v>1.3</v>
      </c>
      <c r="N216">
        <v>185</v>
      </c>
      <c r="O216" t="s">
        <v>34</v>
      </c>
      <c r="P216" t="s">
        <v>22</v>
      </c>
      <c r="Q216" t="s">
        <v>20</v>
      </c>
      <c r="R216">
        <f t="shared" si="41"/>
        <v>43</v>
      </c>
      <c r="S216">
        <f t="shared" si="37"/>
        <v>52</v>
      </c>
      <c r="T216">
        <v>0.184</v>
      </c>
      <c r="U216">
        <v>1.35</v>
      </c>
    </row>
    <row r="217" spans="7:21" x14ac:dyDescent="0.3">
      <c r="G217" s="18">
        <v>168</v>
      </c>
      <c r="H217" s="19">
        <f>$Q$5</f>
        <v>7.22</v>
      </c>
      <c r="I217" s="19">
        <f t="shared" si="40"/>
        <v>33.340000000000003</v>
      </c>
      <c r="J217" s="19">
        <f>Q6</f>
        <v>1.3</v>
      </c>
      <c r="N217">
        <v>186</v>
      </c>
      <c r="O217" t="s">
        <v>34</v>
      </c>
      <c r="P217" t="s">
        <v>22</v>
      </c>
      <c r="Q217" t="s">
        <v>20</v>
      </c>
      <c r="R217">
        <f t="shared" si="41"/>
        <v>52</v>
      </c>
      <c r="S217">
        <f t="shared" si="37"/>
        <v>61</v>
      </c>
      <c r="T217">
        <v>0.184</v>
      </c>
      <c r="U217">
        <v>1.35</v>
      </c>
    </row>
    <row r="218" spans="7:21" x14ac:dyDescent="0.3">
      <c r="G218" s="18">
        <v>169</v>
      </c>
      <c r="H218" s="19">
        <f>$R$5</f>
        <v>14.44</v>
      </c>
      <c r="I218" s="19">
        <f t="shared" si="40"/>
        <v>33.340000000000003</v>
      </c>
      <c r="J218" s="19">
        <f>R6</f>
        <v>1.3</v>
      </c>
      <c r="N218">
        <v>187</v>
      </c>
      <c r="O218" t="s">
        <v>34</v>
      </c>
      <c r="P218" t="s">
        <v>22</v>
      </c>
      <c r="Q218" t="s">
        <v>20</v>
      </c>
      <c r="R218">
        <f t="shared" si="41"/>
        <v>61</v>
      </c>
      <c r="S218">
        <f t="shared" si="37"/>
        <v>70</v>
      </c>
      <c r="T218">
        <v>0.184</v>
      </c>
      <c r="U218">
        <v>1.35</v>
      </c>
    </row>
    <row r="219" spans="7:21" x14ac:dyDescent="0.3">
      <c r="G219" s="18">
        <v>170</v>
      </c>
      <c r="H219" s="19">
        <f>$S$5</f>
        <v>21.66</v>
      </c>
      <c r="I219" s="19">
        <f t="shared" si="40"/>
        <v>33.340000000000003</v>
      </c>
      <c r="J219" s="19">
        <f>S6</f>
        <v>1.3</v>
      </c>
      <c r="N219">
        <v>188</v>
      </c>
      <c r="O219" t="s">
        <v>34</v>
      </c>
      <c r="P219" t="s">
        <v>22</v>
      </c>
      <c r="Q219" t="s">
        <v>20</v>
      </c>
      <c r="R219">
        <f t="shared" si="41"/>
        <v>70</v>
      </c>
      <c r="S219">
        <f t="shared" si="37"/>
        <v>79</v>
      </c>
      <c r="T219">
        <v>0.184</v>
      </c>
      <c r="U219">
        <v>1.35</v>
      </c>
    </row>
    <row r="220" spans="7:21" x14ac:dyDescent="0.3">
      <c r="G220" s="18">
        <v>171</v>
      </c>
      <c r="H220" s="19">
        <f>$T$5</f>
        <v>28.88</v>
      </c>
      <c r="I220" s="19">
        <f t="shared" si="40"/>
        <v>33.340000000000003</v>
      </c>
      <c r="J220" s="19">
        <f>T6</f>
        <v>1.3</v>
      </c>
      <c r="N220">
        <v>189</v>
      </c>
      <c r="O220" t="s">
        <v>34</v>
      </c>
      <c r="P220" t="s">
        <v>22</v>
      </c>
      <c r="Q220" t="s">
        <v>20</v>
      </c>
      <c r="R220">
        <f t="shared" si="41"/>
        <v>79</v>
      </c>
      <c r="S220">
        <f t="shared" si="37"/>
        <v>88</v>
      </c>
      <c r="T220">
        <v>0.184</v>
      </c>
      <c r="U220">
        <v>1.35</v>
      </c>
    </row>
    <row r="221" spans="7:21" x14ac:dyDescent="0.3">
      <c r="G221">
        <v>172</v>
      </c>
      <c r="H221" s="20">
        <f>$L$5-$L$221*SIN(PI()/6)</f>
        <v>-36.655000000000001</v>
      </c>
      <c r="I221" s="20">
        <f>$F$20-$L$221*COS(PI()/6)</f>
        <v>-28.146695028848022</v>
      </c>
      <c r="J221" s="20">
        <f>2*L25/3+H20/3</f>
        <v>2.0266666666666664</v>
      </c>
      <c r="L221">
        <f>L5-G5</f>
        <v>15.55</v>
      </c>
      <c r="N221">
        <v>190</v>
      </c>
      <c r="O221" t="s">
        <v>34</v>
      </c>
      <c r="P221" t="s">
        <v>22</v>
      </c>
      <c r="Q221" t="s">
        <v>20</v>
      </c>
      <c r="R221">
        <f t="shared" si="41"/>
        <v>88</v>
      </c>
      <c r="S221">
        <f t="shared" si="37"/>
        <v>97</v>
      </c>
      <c r="T221">
        <v>0.184</v>
      </c>
      <c r="U221">
        <v>1.35</v>
      </c>
    </row>
    <row r="222" spans="7:21" x14ac:dyDescent="0.3">
      <c r="G222">
        <v>173</v>
      </c>
      <c r="H222" s="20">
        <f>$L$5-$L$221*SIN(2*PI()/6)</f>
        <v>-42.346695028848018</v>
      </c>
      <c r="I222" s="20">
        <f>$F$20-$L$221*COS(2*PI()/6)</f>
        <v>-22.455000000000002</v>
      </c>
      <c r="J222" s="20">
        <f>L25/3+2*H20/3</f>
        <v>2.0533333333333332</v>
      </c>
      <c r="N222">
        <v>191</v>
      </c>
      <c r="O222" t="s">
        <v>34</v>
      </c>
      <c r="P222" t="s">
        <v>22</v>
      </c>
      <c r="Q222" t="s">
        <v>20</v>
      </c>
      <c r="R222">
        <f t="shared" si="41"/>
        <v>97</v>
      </c>
      <c r="S222">
        <f t="shared" si="37"/>
        <v>106</v>
      </c>
      <c r="T222">
        <v>0.184</v>
      </c>
      <c r="U222">
        <v>1.35</v>
      </c>
    </row>
    <row r="223" spans="7:21" x14ac:dyDescent="0.3">
      <c r="G223">
        <v>174</v>
      </c>
      <c r="H223" s="20">
        <f>$G$5</f>
        <v>-44.43</v>
      </c>
      <c r="I223" s="20">
        <f>$F$20</f>
        <v>-14.68</v>
      </c>
      <c r="J223" s="20">
        <f>H20</f>
        <v>2.08</v>
      </c>
      <c r="N223">
        <v>192</v>
      </c>
      <c r="O223" t="s">
        <v>34</v>
      </c>
      <c r="P223" t="s">
        <v>22</v>
      </c>
      <c r="Q223" t="s">
        <v>20</v>
      </c>
      <c r="R223">
        <f t="shared" si="41"/>
        <v>106</v>
      </c>
      <c r="S223">
        <f t="shared" si="37"/>
        <v>115</v>
      </c>
      <c r="T223">
        <v>0.184</v>
      </c>
      <c r="U223">
        <v>1.35</v>
      </c>
    </row>
    <row r="224" spans="7:21" x14ac:dyDescent="0.3">
      <c r="G224">
        <v>175</v>
      </c>
      <c r="H224" s="20">
        <f t="shared" ref="H224:H227" si="42">$G$5</f>
        <v>-44.43</v>
      </c>
      <c r="I224" s="20">
        <f>$F$18</f>
        <v>-7.46</v>
      </c>
      <c r="J224" s="20">
        <f>H18</f>
        <v>2.1880000000000002</v>
      </c>
      <c r="N224">
        <v>193</v>
      </c>
      <c r="O224" t="s">
        <v>34</v>
      </c>
      <c r="P224" t="s">
        <v>22</v>
      </c>
      <c r="Q224" t="s">
        <v>20</v>
      </c>
      <c r="R224">
        <f t="shared" si="41"/>
        <v>115</v>
      </c>
      <c r="S224">
        <f t="shared" si="37"/>
        <v>124</v>
      </c>
      <c r="T224">
        <v>0.184</v>
      </c>
      <c r="U224">
        <v>1.35</v>
      </c>
    </row>
    <row r="225" spans="7:21" x14ac:dyDescent="0.3">
      <c r="G225">
        <v>176</v>
      </c>
      <c r="H225" s="20">
        <f t="shared" si="42"/>
        <v>-44.43</v>
      </c>
      <c r="I225" s="20">
        <f>$F$16</f>
        <v>0</v>
      </c>
      <c r="J225" s="20">
        <f>H16</f>
        <v>2.222</v>
      </c>
      <c r="N225">
        <v>194</v>
      </c>
      <c r="O225" t="s">
        <v>34</v>
      </c>
      <c r="P225" t="s">
        <v>22</v>
      </c>
      <c r="Q225" t="s">
        <v>20</v>
      </c>
      <c r="R225">
        <f t="shared" si="41"/>
        <v>124</v>
      </c>
      <c r="S225">
        <f t="shared" si="37"/>
        <v>133</v>
      </c>
      <c r="T225">
        <v>0.184</v>
      </c>
      <c r="U225">
        <v>1.35</v>
      </c>
    </row>
    <row r="226" spans="7:21" x14ac:dyDescent="0.3">
      <c r="G226">
        <v>177</v>
      </c>
      <c r="H226" s="20">
        <f t="shared" si="42"/>
        <v>-44.43</v>
      </c>
      <c r="I226" s="20">
        <f>$F$14</f>
        <v>7.46</v>
      </c>
      <c r="J226" s="20">
        <f>H14</f>
        <v>2.1880000000000002</v>
      </c>
      <c r="N226">
        <v>195</v>
      </c>
      <c r="O226" t="s">
        <v>34</v>
      </c>
      <c r="P226" t="s">
        <v>22</v>
      </c>
      <c r="Q226" t="s">
        <v>20</v>
      </c>
      <c r="R226">
        <f t="shared" si="41"/>
        <v>133</v>
      </c>
      <c r="S226">
        <f t="shared" si="37"/>
        <v>142</v>
      </c>
      <c r="T226">
        <v>0.184</v>
      </c>
      <c r="U226">
        <v>1.35</v>
      </c>
    </row>
    <row r="227" spans="7:21" x14ac:dyDescent="0.3">
      <c r="G227">
        <v>178</v>
      </c>
      <c r="H227" s="20">
        <f t="shared" si="42"/>
        <v>-44.43</v>
      </c>
      <c r="I227" s="20">
        <f>$F$12</f>
        <v>14.68</v>
      </c>
      <c r="J227" s="20">
        <f>H12</f>
        <v>2.08</v>
      </c>
      <c r="N227">
        <v>196</v>
      </c>
      <c r="O227" t="s">
        <v>34</v>
      </c>
      <c r="P227" t="s">
        <v>22</v>
      </c>
      <c r="Q227" t="s">
        <v>20</v>
      </c>
      <c r="R227">
        <f t="shared" si="41"/>
        <v>142</v>
      </c>
      <c r="S227">
        <f t="shared" si="37"/>
        <v>151</v>
      </c>
      <c r="T227">
        <v>0.184</v>
      </c>
      <c r="U227">
        <v>1.35</v>
      </c>
    </row>
    <row r="228" spans="7:21" x14ac:dyDescent="0.3">
      <c r="G228">
        <v>179</v>
      </c>
      <c r="H228" s="20">
        <f>$L$5-$L$221*SIN(2*PI()/6)</f>
        <v>-42.346695028848018</v>
      </c>
      <c r="I228" s="20">
        <f>$F$12+$L$221*COS(2*PI()/6)</f>
        <v>22.455000000000002</v>
      </c>
      <c r="J228" s="20">
        <f>J222</f>
        <v>2.0533333333333332</v>
      </c>
      <c r="N228">
        <v>197</v>
      </c>
      <c r="O228" t="s">
        <v>34</v>
      </c>
      <c r="P228" t="s">
        <v>22</v>
      </c>
      <c r="Q228" t="s">
        <v>20</v>
      </c>
      <c r="R228">
        <f t="shared" si="41"/>
        <v>151</v>
      </c>
      <c r="S228">
        <f t="shared" si="37"/>
        <v>160</v>
      </c>
      <c r="T228">
        <v>0.184</v>
      </c>
      <c r="U228">
        <v>1.35</v>
      </c>
    </row>
    <row r="229" spans="7:21" x14ac:dyDescent="0.3">
      <c r="G229">
        <v>180</v>
      </c>
      <c r="H229" s="20">
        <f>$L$5-$L$221*SIN(PI()/6)</f>
        <v>-36.655000000000001</v>
      </c>
      <c r="I229" s="20">
        <f>$F$12+$L$221*COS(PI()/6)</f>
        <v>28.146695028848022</v>
      </c>
      <c r="J229" s="20">
        <f>J221</f>
        <v>2.0266666666666664</v>
      </c>
      <c r="N229">
        <v>198</v>
      </c>
      <c r="O229" t="s">
        <v>34</v>
      </c>
      <c r="P229" t="s">
        <v>22</v>
      </c>
      <c r="Q229" t="s">
        <v>20</v>
      </c>
      <c r="R229">
        <f t="shared" si="41"/>
        <v>160</v>
      </c>
      <c r="S229">
        <f t="shared" si="37"/>
        <v>169</v>
      </c>
      <c r="T229">
        <v>0.184</v>
      </c>
      <c r="U229">
        <v>1.35</v>
      </c>
    </row>
    <row r="230" spans="7:21" x14ac:dyDescent="0.3">
      <c r="G230" s="18">
        <v>181</v>
      </c>
      <c r="H230" s="19">
        <f>$L$5-$L$230*SIN(PI()/6)</f>
        <v>-35.229999999999997</v>
      </c>
      <c r="I230" s="19">
        <f>$F$20-$L$230*COS(PI()/6)</f>
        <v>-25.678522628062371</v>
      </c>
      <c r="J230" s="19">
        <f>2*L24/3+I20/3</f>
        <v>2.6419999999999999</v>
      </c>
      <c r="L230">
        <f>L5-H5</f>
        <v>12.7</v>
      </c>
      <c r="N230">
        <v>199</v>
      </c>
      <c r="O230" t="s">
        <v>37</v>
      </c>
      <c r="P230" t="s">
        <v>21</v>
      </c>
      <c r="Q230" t="s">
        <v>20</v>
      </c>
      <c r="R230" s="18">
        <v>172</v>
      </c>
      <c r="S230" s="18">
        <f t="shared" si="37"/>
        <v>181</v>
      </c>
      <c r="T230">
        <v>0.112</v>
      </c>
      <c r="U230">
        <v>0.75</v>
      </c>
    </row>
    <row r="231" spans="7:21" x14ac:dyDescent="0.3">
      <c r="G231" s="18">
        <v>182</v>
      </c>
      <c r="H231" s="19">
        <f>$L$5-$L$230*SIN(2*PI()/6)</f>
        <v>-39.87852262806237</v>
      </c>
      <c r="I231" s="19">
        <f>$F$20-$L$230*COS(2*PI()/6)</f>
        <v>-21.03</v>
      </c>
      <c r="J231" s="19">
        <f>L24/3+2*I20/3</f>
        <v>2.6710000000000003</v>
      </c>
      <c r="N231">
        <v>200</v>
      </c>
      <c r="O231" t="s">
        <v>37</v>
      </c>
      <c r="P231" t="s">
        <v>21</v>
      </c>
      <c r="Q231" t="s">
        <v>20</v>
      </c>
      <c r="R231" s="18">
        <f t="shared" si="41"/>
        <v>181</v>
      </c>
      <c r="S231" s="18">
        <f t="shared" si="37"/>
        <v>190</v>
      </c>
      <c r="T231">
        <v>0.112</v>
      </c>
      <c r="U231">
        <v>0.75</v>
      </c>
    </row>
    <row r="232" spans="7:21" x14ac:dyDescent="0.3">
      <c r="G232" s="18">
        <v>183</v>
      </c>
      <c r="H232" s="19">
        <f>$G$5+($L$221-$L$230)</f>
        <v>-41.58</v>
      </c>
      <c r="I232" s="19">
        <f>$F$20</f>
        <v>-14.68</v>
      </c>
      <c r="J232" s="19">
        <f>I20</f>
        <v>2.7</v>
      </c>
      <c r="N232">
        <v>201</v>
      </c>
      <c r="O232" t="s">
        <v>37</v>
      </c>
      <c r="P232" t="s">
        <v>21</v>
      </c>
      <c r="Q232" t="s">
        <v>20</v>
      </c>
      <c r="R232" s="18">
        <f t="shared" si="41"/>
        <v>190</v>
      </c>
      <c r="S232" s="18">
        <f t="shared" si="37"/>
        <v>199</v>
      </c>
      <c r="T232">
        <v>0.112</v>
      </c>
      <c r="U232">
        <v>0.75</v>
      </c>
    </row>
    <row r="233" spans="7:21" x14ac:dyDescent="0.3">
      <c r="G233" s="18">
        <v>184</v>
      </c>
      <c r="H233" s="19">
        <f t="shared" ref="H233:H236" si="43">$G$5+($L$221-$L$230)</f>
        <v>-41.58</v>
      </c>
      <c r="I233" s="19">
        <f>$F$18</f>
        <v>-7.46</v>
      </c>
      <c r="J233" s="19">
        <f>I18</f>
        <v>2.8540000000000001</v>
      </c>
      <c r="N233">
        <v>202</v>
      </c>
      <c r="O233" t="s">
        <v>37</v>
      </c>
      <c r="P233" t="s">
        <v>21</v>
      </c>
      <c r="Q233" t="s">
        <v>20</v>
      </c>
      <c r="R233" s="18">
        <f t="shared" si="41"/>
        <v>199</v>
      </c>
      <c r="S233" s="18">
        <f t="shared" si="37"/>
        <v>208</v>
      </c>
      <c r="T233">
        <v>0.112</v>
      </c>
      <c r="U233">
        <v>0.75</v>
      </c>
    </row>
    <row r="234" spans="7:21" x14ac:dyDescent="0.3">
      <c r="G234" s="18">
        <v>185</v>
      </c>
      <c r="H234" s="19">
        <f t="shared" si="43"/>
        <v>-41.58</v>
      </c>
      <c r="I234" s="19">
        <f>$F$16</f>
        <v>0</v>
      </c>
      <c r="J234" s="19">
        <f>I16</f>
        <v>2.9140000000000001</v>
      </c>
      <c r="N234">
        <v>203</v>
      </c>
      <c r="O234" t="s">
        <v>37</v>
      </c>
      <c r="P234" t="s">
        <v>21</v>
      </c>
      <c r="Q234" t="s">
        <v>20</v>
      </c>
      <c r="R234" s="18">
        <f t="shared" si="41"/>
        <v>208</v>
      </c>
      <c r="S234" s="18">
        <v>46</v>
      </c>
      <c r="T234">
        <v>0.112</v>
      </c>
      <c r="U234">
        <v>0.75</v>
      </c>
    </row>
    <row r="235" spans="7:21" x14ac:dyDescent="0.3">
      <c r="G235" s="18">
        <v>186</v>
      </c>
      <c r="H235" s="19">
        <f t="shared" si="43"/>
        <v>-41.58</v>
      </c>
      <c r="I235" s="19">
        <f>$F$14</f>
        <v>7.46</v>
      </c>
      <c r="J235" s="19">
        <f>I14</f>
        <v>2.8540000000000001</v>
      </c>
      <c r="N235">
        <v>204</v>
      </c>
      <c r="O235" t="s">
        <v>37</v>
      </c>
      <c r="P235" t="s">
        <v>21</v>
      </c>
      <c r="Q235" t="s">
        <v>20</v>
      </c>
      <c r="R235">
        <v>173</v>
      </c>
      <c r="S235">
        <f t="shared" si="37"/>
        <v>182</v>
      </c>
      <c r="T235">
        <v>0.112</v>
      </c>
      <c r="U235">
        <v>0.75</v>
      </c>
    </row>
    <row r="236" spans="7:21" x14ac:dyDescent="0.3">
      <c r="G236" s="18">
        <v>187</v>
      </c>
      <c r="H236" s="19">
        <f t="shared" si="43"/>
        <v>-41.58</v>
      </c>
      <c r="I236" s="19">
        <f>$F$12</f>
        <v>14.68</v>
      </c>
      <c r="J236" s="19">
        <f>I12</f>
        <v>2.7</v>
      </c>
      <c r="N236">
        <v>205</v>
      </c>
      <c r="O236" t="s">
        <v>37</v>
      </c>
      <c r="P236" t="s">
        <v>21</v>
      </c>
      <c r="Q236" t="s">
        <v>20</v>
      </c>
      <c r="R236">
        <f t="shared" si="41"/>
        <v>182</v>
      </c>
      <c r="S236">
        <f t="shared" si="37"/>
        <v>191</v>
      </c>
      <c r="T236">
        <v>0.112</v>
      </c>
      <c r="U236">
        <v>0.75</v>
      </c>
    </row>
    <row r="237" spans="7:21" x14ac:dyDescent="0.3">
      <c r="G237" s="18">
        <v>188</v>
      </c>
      <c r="H237" s="19">
        <f>$L$5-$L$230*SIN(2*PI()/6)</f>
        <v>-39.87852262806237</v>
      </c>
      <c r="I237" s="19">
        <f>$F$12+$L$230*COS(2*PI()/6)</f>
        <v>21.03</v>
      </c>
      <c r="J237" s="19">
        <f>J231</f>
        <v>2.6710000000000003</v>
      </c>
      <c r="N237">
        <v>206</v>
      </c>
      <c r="O237" t="s">
        <v>37</v>
      </c>
      <c r="P237" t="s">
        <v>21</v>
      </c>
      <c r="Q237" t="s">
        <v>20</v>
      </c>
      <c r="R237">
        <f t="shared" si="41"/>
        <v>191</v>
      </c>
      <c r="S237">
        <f t="shared" si="37"/>
        <v>200</v>
      </c>
      <c r="T237">
        <v>0.112</v>
      </c>
      <c r="U237">
        <v>0.75</v>
      </c>
    </row>
    <row r="238" spans="7:21" x14ac:dyDescent="0.3">
      <c r="G238" s="18">
        <v>189</v>
      </c>
      <c r="H238" s="19">
        <f>$L$5-$L$230*SIN(PI()/6)</f>
        <v>-35.229999999999997</v>
      </c>
      <c r="I238" s="19">
        <f>$F$12+$L$230*COS(PI()/6)</f>
        <v>25.678522628062371</v>
      </c>
      <c r="J238" s="19">
        <f>J230</f>
        <v>2.6419999999999999</v>
      </c>
      <c r="N238">
        <v>207</v>
      </c>
      <c r="O238" t="s">
        <v>37</v>
      </c>
      <c r="P238" t="s">
        <v>21</v>
      </c>
      <c r="Q238" t="s">
        <v>20</v>
      </c>
      <c r="R238">
        <f t="shared" si="41"/>
        <v>200</v>
      </c>
      <c r="S238">
        <f t="shared" si="37"/>
        <v>209</v>
      </c>
      <c r="T238">
        <v>0.112</v>
      </c>
      <c r="U238">
        <v>0.75</v>
      </c>
    </row>
    <row r="239" spans="7:21" x14ac:dyDescent="0.3">
      <c r="G239">
        <v>190</v>
      </c>
      <c r="H239" s="20">
        <f>$L$5-$L$239*SIN(PI()/6)</f>
        <v>-33.7575</v>
      </c>
      <c r="I239" s="20">
        <f>$F$20-$L$239*COS(PI()/6)</f>
        <v>-23.128077813917198</v>
      </c>
      <c r="J239" s="20">
        <f>2*L23/3+J20/3</f>
        <v>3.1293333333333333</v>
      </c>
      <c r="L239">
        <f>L5-I5</f>
        <v>9.754999999999999</v>
      </c>
      <c r="N239">
        <v>208</v>
      </c>
      <c r="O239" t="s">
        <v>37</v>
      </c>
      <c r="P239" t="s">
        <v>21</v>
      </c>
      <c r="Q239" t="s">
        <v>20</v>
      </c>
      <c r="R239">
        <f t="shared" si="41"/>
        <v>209</v>
      </c>
      <c r="S239">
        <v>46</v>
      </c>
      <c r="T239">
        <v>0.112</v>
      </c>
      <c r="U239">
        <v>0.75</v>
      </c>
    </row>
    <row r="240" spans="7:21" x14ac:dyDescent="0.3">
      <c r="G240">
        <v>191</v>
      </c>
      <c r="H240" s="20">
        <f>$L$5-$L$239*SIN(2*PI()/6)</f>
        <v>-37.328077813917197</v>
      </c>
      <c r="I240" s="20">
        <f>$F$20-$L$239*COS(2*PI()/6)</f>
        <v>-19.557500000000001</v>
      </c>
      <c r="J240" s="20">
        <f>L23/3+2*J20/3</f>
        <v>3.1646666666666663</v>
      </c>
      <c r="N240">
        <v>209</v>
      </c>
      <c r="O240" t="s">
        <v>38</v>
      </c>
      <c r="P240" t="s">
        <v>21</v>
      </c>
      <c r="Q240" t="s">
        <v>20</v>
      </c>
      <c r="R240" s="18">
        <v>175</v>
      </c>
      <c r="S240" s="18">
        <f t="shared" si="37"/>
        <v>184</v>
      </c>
      <c r="T240">
        <v>0.112</v>
      </c>
      <c r="U240">
        <v>0.75</v>
      </c>
    </row>
    <row r="241" spans="7:21" x14ac:dyDescent="0.3">
      <c r="G241">
        <v>192</v>
      </c>
      <c r="H241" s="20">
        <f>$G$5+($L$221-$L$239)</f>
        <v>-38.634999999999998</v>
      </c>
      <c r="I241" s="20">
        <f>$F$20</f>
        <v>-14.68</v>
      </c>
      <c r="J241" s="20">
        <f>J20</f>
        <v>3.2</v>
      </c>
      <c r="N241">
        <v>210</v>
      </c>
      <c r="O241" t="s">
        <v>38</v>
      </c>
      <c r="P241" t="s">
        <v>21</v>
      </c>
      <c r="Q241" t="s">
        <v>20</v>
      </c>
      <c r="R241" s="18">
        <f t="shared" si="41"/>
        <v>184</v>
      </c>
      <c r="S241" s="18">
        <f t="shared" si="37"/>
        <v>193</v>
      </c>
      <c r="T241">
        <v>0.112</v>
      </c>
      <c r="U241">
        <v>0.75</v>
      </c>
    </row>
    <row r="242" spans="7:21" x14ac:dyDescent="0.3">
      <c r="G242">
        <v>193</v>
      </c>
      <c r="H242" s="20">
        <f t="shared" ref="H242:H245" si="44">$G$5+($L$221-$L$239)</f>
        <v>-38.634999999999998</v>
      </c>
      <c r="I242" s="20">
        <f>$F$18</f>
        <v>-7.46</v>
      </c>
      <c r="J242" s="20">
        <f>J18</f>
        <v>3.4319999999999999</v>
      </c>
      <c r="N242">
        <v>211</v>
      </c>
      <c r="O242" t="s">
        <v>38</v>
      </c>
      <c r="P242" t="s">
        <v>21</v>
      </c>
      <c r="Q242" t="s">
        <v>20</v>
      </c>
      <c r="R242" s="18">
        <f t="shared" si="41"/>
        <v>193</v>
      </c>
      <c r="S242" s="18">
        <f t="shared" si="37"/>
        <v>202</v>
      </c>
      <c r="T242">
        <v>0.112</v>
      </c>
      <c r="U242">
        <v>0.75</v>
      </c>
    </row>
    <row r="243" spans="7:21" x14ac:dyDescent="0.3">
      <c r="G243">
        <v>194</v>
      </c>
      <c r="H243" s="20">
        <f t="shared" si="44"/>
        <v>-38.634999999999998</v>
      </c>
      <c r="I243" s="20">
        <f>$F$16</f>
        <v>0</v>
      </c>
      <c r="J243" s="20">
        <f>J16</f>
        <v>3.5129999999999999</v>
      </c>
      <c r="N243">
        <v>212</v>
      </c>
      <c r="O243" t="s">
        <v>38</v>
      </c>
      <c r="P243" t="s">
        <v>21</v>
      </c>
      <c r="Q243" t="s">
        <v>20</v>
      </c>
      <c r="R243" s="18">
        <f t="shared" si="41"/>
        <v>202</v>
      </c>
      <c r="S243" s="18">
        <f t="shared" si="37"/>
        <v>211</v>
      </c>
      <c r="T243">
        <v>0.112</v>
      </c>
      <c r="U243">
        <v>0.75</v>
      </c>
    </row>
    <row r="244" spans="7:21" x14ac:dyDescent="0.3">
      <c r="G244">
        <v>195</v>
      </c>
      <c r="H244" s="20">
        <f t="shared" si="44"/>
        <v>-38.634999999999998</v>
      </c>
      <c r="I244" s="20">
        <f>$F$14</f>
        <v>7.46</v>
      </c>
      <c r="J244" s="20">
        <f>J14</f>
        <v>3.4319999999999999</v>
      </c>
      <c r="N244">
        <v>213</v>
      </c>
      <c r="O244" t="s">
        <v>38</v>
      </c>
      <c r="P244" t="s">
        <v>21</v>
      </c>
      <c r="Q244" t="s">
        <v>20</v>
      </c>
      <c r="R244" s="18">
        <f t="shared" si="41"/>
        <v>211</v>
      </c>
      <c r="S244" s="18">
        <v>64</v>
      </c>
      <c r="T244">
        <v>0.112</v>
      </c>
      <c r="U244">
        <v>0.75</v>
      </c>
    </row>
    <row r="245" spans="7:21" x14ac:dyDescent="0.3">
      <c r="G245">
        <v>196</v>
      </c>
      <c r="H245" s="20">
        <f t="shared" si="44"/>
        <v>-38.634999999999998</v>
      </c>
      <c r="I245" s="20">
        <f>$F$12</f>
        <v>14.68</v>
      </c>
      <c r="J245" s="20">
        <f>J12</f>
        <v>3.2</v>
      </c>
      <c r="N245">
        <v>214</v>
      </c>
      <c r="O245" t="s">
        <v>38</v>
      </c>
      <c r="P245" t="s">
        <v>21</v>
      </c>
      <c r="Q245" t="s">
        <v>20</v>
      </c>
      <c r="R245">
        <v>176</v>
      </c>
      <c r="S245">
        <f t="shared" si="37"/>
        <v>185</v>
      </c>
      <c r="T245">
        <v>0.112</v>
      </c>
      <c r="U245">
        <v>0.75</v>
      </c>
    </row>
    <row r="246" spans="7:21" x14ac:dyDescent="0.3">
      <c r="G246">
        <v>197</v>
      </c>
      <c r="H246" s="20">
        <f>$L$5-$L$239*SIN(2*PI()/6)</f>
        <v>-37.328077813917197</v>
      </c>
      <c r="I246" s="20">
        <f>$F$12+$L$239*COS(2*PI()/6)</f>
        <v>19.557500000000001</v>
      </c>
      <c r="J246" s="20">
        <f>J240</f>
        <v>3.1646666666666663</v>
      </c>
      <c r="N246">
        <v>215</v>
      </c>
      <c r="O246" t="s">
        <v>38</v>
      </c>
      <c r="P246" t="s">
        <v>21</v>
      </c>
      <c r="Q246" t="s">
        <v>20</v>
      </c>
      <c r="R246">
        <f t="shared" si="41"/>
        <v>185</v>
      </c>
      <c r="S246">
        <f t="shared" si="37"/>
        <v>194</v>
      </c>
      <c r="T246">
        <v>0.112</v>
      </c>
      <c r="U246">
        <v>0.75</v>
      </c>
    </row>
    <row r="247" spans="7:21" x14ac:dyDescent="0.3">
      <c r="G247">
        <v>198</v>
      </c>
      <c r="H247" s="20">
        <f>$L$5-$L$239*SIN(PI()/6)</f>
        <v>-33.7575</v>
      </c>
      <c r="I247" s="20">
        <f>$F$12+$L$239*COS(PI()/6)</f>
        <v>23.128077813917198</v>
      </c>
      <c r="J247" s="20">
        <f>J239</f>
        <v>3.1293333333333333</v>
      </c>
      <c r="N247">
        <v>216</v>
      </c>
      <c r="O247" t="s">
        <v>38</v>
      </c>
      <c r="P247" t="s">
        <v>21</v>
      </c>
      <c r="Q247" t="s">
        <v>20</v>
      </c>
      <c r="R247">
        <f t="shared" si="41"/>
        <v>194</v>
      </c>
      <c r="S247">
        <f t="shared" si="37"/>
        <v>203</v>
      </c>
      <c r="T247">
        <v>0.112</v>
      </c>
      <c r="U247">
        <v>0.75</v>
      </c>
    </row>
    <row r="248" spans="7:21" x14ac:dyDescent="0.3">
      <c r="G248" s="18">
        <v>199</v>
      </c>
      <c r="H248" s="19">
        <f>$L$5-$L$248*SIN(PI()/6)</f>
        <v>-32.244999999999997</v>
      </c>
      <c r="I248" s="19">
        <f>$F$20-$L$248*COS(PI()/6)</f>
        <v>-20.508350967469273</v>
      </c>
      <c r="J248" s="19">
        <f>2*L22/3+K20/3</f>
        <v>3.5086666666666666</v>
      </c>
      <c r="L248">
        <f>L5-J5</f>
        <v>6.73</v>
      </c>
      <c r="N248">
        <v>217</v>
      </c>
      <c r="O248" t="s">
        <v>38</v>
      </c>
      <c r="P248" t="s">
        <v>21</v>
      </c>
      <c r="Q248" t="s">
        <v>20</v>
      </c>
      <c r="R248">
        <f t="shared" si="41"/>
        <v>203</v>
      </c>
      <c r="S248">
        <f t="shared" si="37"/>
        <v>212</v>
      </c>
      <c r="T248">
        <v>0.112</v>
      </c>
      <c r="U248">
        <v>0.75</v>
      </c>
    </row>
    <row r="249" spans="7:21" x14ac:dyDescent="0.3">
      <c r="G249" s="18">
        <v>200</v>
      </c>
      <c r="H249" s="19">
        <f>$L$5-$L$248*SIN(2*PI()/6)</f>
        <v>-34.708350967469272</v>
      </c>
      <c r="I249" s="19">
        <f>$F$20-$L$248*COS(2*PI()/6)</f>
        <v>-18.045000000000002</v>
      </c>
      <c r="J249" s="19">
        <f>L22/3+2*K20/3</f>
        <v>3.5293333333333337</v>
      </c>
      <c r="N249">
        <v>218</v>
      </c>
      <c r="O249" t="s">
        <v>38</v>
      </c>
      <c r="P249" t="s">
        <v>21</v>
      </c>
      <c r="Q249" t="s">
        <v>20</v>
      </c>
      <c r="R249">
        <f t="shared" si="41"/>
        <v>212</v>
      </c>
      <c r="S249">
        <v>82</v>
      </c>
      <c r="T249">
        <v>0.112</v>
      </c>
      <c r="U249">
        <v>0.75</v>
      </c>
    </row>
    <row r="250" spans="7:21" x14ac:dyDescent="0.3">
      <c r="G250" s="18">
        <v>201</v>
      </c>
      <c r="H250" s="19">
        <f>$G$5+($L$221-$L$248)</f>
        <v>-35.61</v>
      </c>
      <c r="I250" s="19">
        <f>$F$20</f>
        <v>-14.68</v>
      </c>
      <c r="J250" s="19">
        <f>K20</f>
        <v>3.55</v>
      </c>
      <c r="N250">
        <v>219</v>
      </c>
      <c r="O250" t="s">
        <v>38</v>
      </c>
      <c r="P250" t="s">
        <v>21</v>
      </c>
      <c r="Q250" t="s">
        <v>20</v>
      </c>
      <c r="R250" s="18">
        <v>177</v>
      </c>
      <c r="S250" s="18">
        <f t="shared" si="37"/>
        <v>186</v>
      </c>
      <c r="T250">
        <v>0.112</v>
      </c>
      <c r="U250">
        <v>0.75</v>
      </c>
    </row>
    <row r="251" spans="7:21" x14ac:dyDescent="0.3">
      <c r="G251" s="18">
        <v>202</v>
      </c>
      <c r="H251" s="19">
        <f t="shared" ref="H251:H254" si="45">$G$5+($L$221-$L$248)</f>
        <v>-35.61</v>
      </c>
      <c r="I251" s="19">
        <f>$F$18</f>
        <v>-7.46</v>
      </c>
      <c r="J251" s="19">
        <f>K18</f>
        <v>3.8090000000000002</v>
      </c>
      <c r="N251">
        <v>220</v>
      </c>
      <c r="O251" t="s">
        <v>38</v>
      </c>
      <c r="P251" t="s">
        <v>21</v>
      </c>
      <c r="Q251" t="s">
        <v>20</v>
      </c>
      <c r="R251" s="18">
        <f t="shared" si="41"/>
        <v>186</v>
      </c>
      <c r="S251" s="18">
        <f t="shared" si="37"/>
        <v>195</v>
      </c>
      <c r="T251">
        <v>0.112</v>
      </c>
      <c r="U251">
        <v>0.75</v>
      </c>
    </row>
    <row r="252" spans="7:21" x14ac:dyDescent="0.3">
      <c r="G252" s="18">
        <v>203</v>
      </c>
      <c r="H252" s="19">
        <f t="shared" si="45"/>
        <v>-35.61</v>
      </c>
      <c r="I252" s="19">
        <f>$F$16</f>
        <v>0</v>
      </c>
      <c r="J252" s="19">
        <f>K16</f>
        <v>3.9049999999999998</v>
      </c>
      <c r="N252">
        <v>221</v>
      </c>
      <c r="O252" t="s">
        <v>38</v>
      </c>
      <c r="P252" t="s">
        <v>21</v>
      </c>
      <c r="Q252" t="s">
        <v>20</v>
      </c>
      <c r="R252" s="18">
        <f t="shared" si="41"/>
        <v>195</v>
      </c>
      <c r="S252" s="18">
        <f t="shared" si="37"/>
        <v>204</v>
      </c>
      <c r="T252">
        <v>0.112</v>
      </c>
      <c r="U252">
        <v>0.75</v>
      </c>
    </row>
    <row r="253" spans="7:21" x14ac:dyDescent="0.3">
      <c r="G253" s="18">
        <v>204</v>
      </c>
      <c r="H253" s="19">
        <f t="shared" si="45"/>
        <v>-35.61</v>
      </c>
      <c r="I253" s="19">
        <f>$F$14</f>
        <v>7.46</v>
      </c>
      <c r="J253" s="19">
        <f>K14</f>
        <v>3.8090000000000002</v>
      </c>
      <c r="N253">
        <v>222</v>
      </c>
      <c r="O253" t="s">
        <v>38</v>
      </c>
      <c r="P253" t="s">
        <v>21</v>
      </c>
      <c r="Q253" t="s">
        <v>20</v>
      </c>
      <c r="R253" s="18">
        <f t="shared" si="41"/>
        <v>204</v>
      </c>
      <c r="S253" s="18">
        <f t="shared" si="37"/>
        <v>213</v>
      </c>
      <c r="T253">
        <v>0.112</v>
      </c>
      <c r="U253">
        <v>0.75</v>
      </c>
    </row>
    <row r="254" spans="7:21" x14ac:dyDescent="0.3">
      <c r="G254" s="18">
        <v>205</v>
      </c>
      <c r="H254" s="19">
        <f t="shared" si="45"/>
        <v>-35.61</v>
      </c>
      <c r="I254" s="19">
        <f>$F$12</f>
        <v>14.68</v>
      </c>
      <c r="J254" s="19">
        <f>K12</f>
        <v>3.55</v>
      </c>
      <c r="N254">
        <v>223</v>
      </c>
      <c r="O254" t="s">
        <v>38</v>
      </c>
      <c r="P254" t="s">
        <v>21</v>
      </c>
      <c r="Q254" t="s">
        <v>20</v>
      </c>
      <c r="R254" s="18">
        <f t="shared" si="41"/>
        <v>213</v>
      </c>
      <c r="S254" s="18">
        <v>100</v>
      </c>
      <c r="T254">
        <v>0.112</v>
      </c>
      <c r="U254">
        <v>0.75</v>
      </c>
    </row>
    <row r="255" spans="7:21" x14ac:dyDescent="0.3">
      <c r="G255" s="18">
        <v>206</v>
      </c>
      <c r="H255" s="19">
        <f>$L$5-$L$248*SIN(2*PI()/6)</f>
        <v>-34.708350967469272</v>
      </c>
      <c r="I255" s="19">
        <f>$F$12+$L$248*COS(2*PI()/6)</f>
        <v>18.045000000000002</v>
      </c>
      <c r="J255" s="19">
        <f>J249</f>
        <v>3.5293333333333337</v>
      </c>
      <c r="N255">
        <v>224</v>
      </c>
      <c r="O255" t="s">
        <v>37</v>
      </c>
      <c r="P255" t="s">
        <v>21</v>
      </c>
      <c r="Q255" t="s">
        <v>20</v>
      </c>
      <c r="R255">
        <v>179</v>
      </c>
      <c r="S255">
        <f t="shared" si="37"/>
        <v>188</v>
      </c>
      <c r="T255">
        <v>0.112</v>
      </c>
      <c r="U255">
        <v>0.75</v>
      </c>
    </row>
    <row r="256" spans="7:21" x14ac:dyDescent="0.3">
      <c r="G256" s="18">
        <v>207</v>
      </c>
      <c r="H256" s="19">
        <f>$L$5-$L$248*SIN(PI()/6)</f>
        <v>-32.244999999999997</v>
      </c>
      <c r="I256" s="19">
        <f>$F$12+$L$248*COS(PI()/6)</f>
        <v>20.508350967469273</v>
      </c>
      <c r="J256" s="19">
        <f>J248</f>
        <v>3.5086666666666666</v>
      </c>
      <c r="N256">
        <v>225</v>
      </c>
      <c r="O256" t="s">
        <v>37</v>
      </c>
      <c r="P256" t="s">
        <v>21</v>
      </c>
      <c r="Q256" t="s">
        <v>20</v>
      </c>
      <c r="R256">
        <f t="shared" si="41"/>
        <v>188</v>
      </c>
      <c r="S256">
        <f t="shared" si="37"/>
        <v>197</v>
      </c>
      <c r="T256">
        <v>0.112</v>
      </c>
      <c r="U256">
        <v>0.75</v>
      </c>
    </row>
    <row r="257" spans="7:21" x14ac:dyDescent="0.3">
      <c r="G257">
        <v>208</v>
      </c>
      <c r="H257" s="20">
        <f>$L$5-$L$257*SIN(PI()/6)</f>
        <v>-30.7</v>
      </c>
      <c r="I257" s="20">
        <f>$F$20-$L$257*COS(PI()/6)</f>
        <v>-17.832332469775359</v>
      </c>
      <c r="J257" s="20">
        <f>2*L21/3+L20/3</f>
        <v>3.8959999999999999</v>
      </c>
      <c r="L257">
        <f>L5-K5</f>
        <v>3.6400000000000041</v>
      </c>
      <c r="N257">
        <v>226</v>
      </c>
      <c r="O257" t="s">
        <v>37</v>
      </c>
      <c r="P257" t="s">
        <v>21</v>
      </c>
      <c r="Q257" t="s">
        <v>20</v>
      </c>
      <c r="R257">
        <f t="shared" si="41"/>
        <v>197</v>
      </c>
      <c r="S257">
        <f t="shared" si="37"/>
        <v>206</v>
      </c>
      <c r="T257">
        <v>0.112</v>
      </c>
      <c r="U257">
        <v>0.75</v>
      </c>
    </row>
    <row r="258" spans="7:21" x14ac:dyDescent="0.3">
      <c r="G258">
        <v>209</v>
      </c>
      <c r="H258" s="20">
        <f>$L$5-$L$257*SIN(2*PI()/6)</f>
        <v>-32.032332469775362</v>
      </c>
      <c r="I258" s="20">
        <f>$F$20-$L$257*COS(2*PI()/6)</f>
        <v>-16.500000000000004</v>
      </c>
      <c r="J258" s="20">
        <f>L21/3+2*L20/3</f>
        <v>3.9979999999999993</v>
      </c>
      <c r="N258">
        <v>227</v>
      </c>
      <c r="O258" t="s">
        <v>37</v>
      </c>
      <c r="P258" t="s">
        <v>21</v>
      </c>
      <c r="Q258" t="s">
        <v>20</v>
      </c>
      <c r="R258">
        <f t="shared" si="41"/>
        <v>206</v>
      </c>
      <c r="S258">
        <f t="shared" si="37"/>
        <v>215</v>
      </c>
      <c r="T258">
        <v>0.112</v>
      </c>
      <c r="U258">
        <v>0.75</v>
      </c>
    </row>
    <row r="259" spans="7:21" x14ac:dyDescent="0.3">
      <c r="G259">
        <v>210</v>
      </c>
      <c r="H259" s="20">
        <f>$G$5+($L$221-$L$257)</f>
        <v>-32.520000000000003</v>
      </c>
      <c r="I259" s="20">
        <f>$F$20</f>
        <v>-14.68</v>
      </c>
      <c r="J259" s="20">
        <f>L20</f>
        <v>4.0999999999999996</v>
      </c>
      <c r="N259">
        <v>228</v>
      </c>
      <c r="O259" t="s">
        <v>37</v>
      </c>
      <c r="P259" t="s">
        <v>21</v>
      </c>
      <c r="Q259" t="s">
        <v>20</v>
      </c>
      <c r="R259">
        <f t="shared" si="41"/>
        <v>215</v>
      </c>
      <c r="S259">
        <v>118</v>
      </c>
      <c r="T259">
        <v>0.112</v>
      </c>
      <c r="U259">
        <v>0.75</v>
      </c>
    </row>
    <row r="260" spans="7:21" x14ac:dyDescent="0.3">
      <c r="G260">
        <v>211</v>
      </c>
      <c r="H260" s="20">
        <f t="shared" ref="H260:H263" si="46">$G$5+($L$221-$L$257)</f>
        <v>-32.520000000000003</v>
      </c>
      <c r="I260" s="20">
        <f>$F$18</f>
        <v>-7.46</v>
      </c>
      <c r="J260" s="20">
        <f>L18</f>
        <v>4.4089999999999998</v>
      </c>
      <c r="N260">
        <v>229</v>
      </c>
      <c r="O260" t="s">
        <v>37</v>
      </c>
      <c r="P260" t="s">
        <v>21</v>
      </c>
      <c r="Q260" t="s">
        <v>20</v>
      </c>
      <c r="R260" s="18">
        <v>180</v>
      </c>
      <c r="S260" s="18">
        <f t="shared" si="37"/>
        <v>189</v>
      </c>
      <c r="T260">
        <v>0.112</v>
      </c>
      <c r="U260">
        <v>0.75</v>
      </c>
    </row>
    <row r="261" spans="7:21" x14ac:dyDescent="0.3">
      <c r="G261">
        <v>212</v>
      </c>
      <c r="H261" s="20">
        <f t="shared" si="46"/>
        <v>-32.520000000000003</v>
      </c>
      <c r="I261" s="20">
        <f>$F$16</f>
        <v>0</v>
      </c>
      <c r="J261" s="20">
        <f>L16</f>
        <v>4.5279999999999996</v>
      </c>
      <c r="N261">
        <v>230</v>
      </c>
      <c r="O261" t="s">
        <v>37</v>
      </c>
      <c r="P261" t="s">
        <v>21</v>
      </c>
      <c r="Q261" t="s">
        <v>20</v>
      </c>
      <c r="R261" s="18">
        <f t="shared" si="41"/>
        <v>189</v>
      </c>
      <c r="S261" s="18">
        <f t="shared" si="37"/>
        <v>198</v>
      </c>
      <c r="T261">
        <v>0.112</v>
      </c>
      <c r="U261">
        <v>0.75</v>
      </c>
    </row>
    <row r="262" spans="7:21" x14ac:dyDescent="0.3">
      <c r="G262">
        <v>213</v>
      </c>
      <c r="H262" s="20">
        <f t="shared" si="46"/>
        <v>-32.520000000000003</v>
      </c>
      <c r="I262" s="20">
        <f>$F$14</f>
        <v>7.46</v>
      </c>
      <c r="J262" s="20">
        <f>L14</f>
        <v>4.4089999999999998</v>
      </c>
      <c r="N262">
        <v>231</v>
      </c>
      <c r="O262" t="s">
        <v>37</v>
      </c>
      <c r="P262" t="s">
        <v>21</v>
      </c>
      <c r="Q262" t="s">
        <v>20</v>
      </c>
      <c r="R262" s="18">
        <f t="shared" si="41"/>
        <v>198</v>
      </c>
      <c r="S262" s="18">
        <f t="shared" si="37"/>
        <v>207</v>
      </c>
      <c r="T262">
        <v>0.112</v>
      </c>
      <c r="U262">
        <v>0.75</v>
      </c>
    </row>
    <row r="263" spans="7:21" x14ac:dyDescent="0.3">
      <c r="G263">
        <v>214</v>
      </c>
      <c r="H263" s="20">
        <f t="shared" si="46"/>
        <v>-32.520000000000003</v>
      </c>
      <c r="I263" s="20">
        <f>$F$12</f>
        <v>14.68</v>
      </c>
      <c r="J263" s="20">
        <f>L12</f>
        <v>4.0999999999999996</v>
      </c>
      <c r="N263">
        <v>232</v>
      </c>
      <c r="O263" t="s">
        <v>37</v>
      </c>
      <c r="P263" t="s">
        <v>21</v>
      </c>
      <c r="Q263" t="s">
        <v>20</v>
      </c>
      <c r="R263" s="18">
        <f t="shared" si="41"/>
        <v>207</v>
      </c>
      <c r="S263" s="18">
        <f t="shared" si="37"/>
        <v>216</v>
      </c>
      <c r="T263">
        <v>0.112</v>
      </c>
      <c r="U263">
        <v>0.75</v>
      </c>
    </row>
    <row r="264" spans="7:21" x14ac:dyDescent="0.3">
      <c r="G264">
        <v>215</v>
      </c>
      <c r="H264" s="20">
        <f>$L$5-$L$257*SIN(2*PI()/6)</f>
        <v>-32.032332469775362</v>
      </c>
      <c r="I264" s="20">
        <f>$F$12+$L$257*COS(2*PI()/6)</f>
        <v>16.500000000000004</v>
      </c>
      <c r="J264" s="20">
        <f>J258</f>
        <v>3.9979999999999993</v>
      </c>
      <c r="N264">
        <v>233</v>
      </c>
      <c r="O264" t="s">
        <v>37</v>
      </c>
      <c r="P264" t="s">
        <v>21</v>
      </c>
      <c r="Q264" t="s">
        <v>20</v>
      </c>
      <c r="R264" s="18">
        <f t="shared" si="41"/>
        <v>216</v>
      </c>
      <c r="S264" s="18">
        <v>118</v>
      </c>
      <c r="T264">
        <v>0.112</v>
      </c>
      <c r="U264">
        <v>0.75</v>
      </c>
    </row>
    <row r="265" spans="7:21" x14ac:dyDescent="0.3">
      <c r="G265">
        <v>216</v>
      </c>
      <c r="H265" s="20">
        <f>$L$5-$L$257*SIN(PI()/6)</f>
        <v>-30.7</v>
      </c>
      <c r="I265" s="20">
        <f>$F$12+$L$257*COS(PI()/6)</f>
        <v>17.832332469775359</v>
      </c>
      <c r="J265" s="20">
        <f>J257</f>
        <v>3.8959999999999999</v>
      </c>
      <c r="N265">
        <v>234</v>
      </c>
      <c r="O265" t="s">
        <v>37</v>
      </c>
      <c r="P265" t="s">
        <v>21</v>
      </c>
      <c r="Q265" t="s">
        <v>20</v>
      </c>
      <c r="R265">
        <v>217</v>
      </c>
      <c r="S265">
        <f t="shared" si="37"/>
        <v>226</v>
      </c>
      <c r="T265">
        <v>0.112</v>
      </c>
      <c r="U265">
        <v>0.75</v>
      </c>
    </row>
    <row r="266" spans="7:21" x14ac:dyDescent="0.3">
      <c r="G266" s="18">
        <v>217</v>
      </c>
      <c r="H266" s="19">
        <f>-H221</f>
        <v>36.655000000000001</v>
      </c>
      <c r="I266" s="19">
        <f>I221</f>
        <v>-28.146695028848022</v>
      </c>
      <c r="J266" s="19">
        <f>J221</f>
        <v>2.0266666666666664</v>
      </c>
      <c r="N266">
        <v>235</v>
      </c>
      <c r="O266" t="s">
        <v>37</v>
      </c>
      <c r="P266" t="s">
        <v>21</v>
      </c>
      <c r="Q266" t="s">
        <v>20</v>
      </c>
      <c r="R266">
        <f t="shared" si="41"/>
        <v>226</v>
      </c>
      <c r="S266">
        <f t="shared" si="37"/>
        <v>235</v>
      </c>
      <c r="T266">
        <v>0.112</v>
      </c>
      <c r="U266">
        <v>0.75</v>
      </c>
    </row>
    <row r="267" spans="7:21" x14ac:dyDescent="0.3">
      <c r="G267" s="18">
        <v>218</v>
      </c>
      <c r="H267" s="19">
        <f t="shared" ref="H267:H310" si="47">-H222</f>
        <v>42.346695028848018</v>
      </c>
      <c r="I267" s="19">
        <f t="shared" ref="I267:I274" si="48">I222</f>
        <v>-22.455000000000002</v>
      </c>
      <c r="J267" s="19">
        <f t="shared" ref="I267:J310" si="49">J222</f>
        <v>2.0533333333333332</v>
      </c>
      <c r="N267">
        <v>236</v>
      </c>
      <c r="O267" t="s">
        <v>37</v>
      </c>
      <c r="P267" t="s">
        <v>21</v>
      </c>
      <c r="Q267" t="s">
        <v>20</v>
      </c>
      <c r="R267">
        <f t="shared" si="41"/>
        <v>235</v>
      </c>
      <c r="S267">
        <f t="shared" si="37"/>
        <v>244</v>
      </c>
      <c r="T267">
        <v>0.112</v>
      </c>
      <c r="U267">
        <v>0.75</v>
      </c>
    </row>
    <row r="268" spans="7:21" x14ac:dyDescent="0.3">
      <c r="G268" s="18">
        <v>219</v>
      </c>
      <c r="H268" s="19">
        <f t="shared" si="47"/>
        <v>44.43</v>
      </c>
      <c r="I268" s="19">
        <f t="shared" si="48"/>
        <v>-14.68</v>
      </c>
      <c r="J268" s="19">
        <f t="shared" si="49"/>
        <v>2.08</v>
      </c>
      <c r="N268">
        <v>237</v>
      </c>
      <c r="O268" t="s">
        <v>37</v>
      </c>
      <c r="P268" t="s">
        <v>21</v>
      </c>
      <c r="Q268" t="s">
        <v>20</v>
      </c>
      <c r="R268">
        <f t="shared" si="41"/>
        <v>244</v>
      </c>
      <c r="S268">
        <f t="shared" ref="S268:S298" si="50">R268+9</f>
        <v>253</v>
      </c>
      <c r="T268">
        <v>0.112</v>
      </c>
      <c r="U268">
        <v>0.75</v>
      </c>
    </row>
    <row r="269" spans="7:21" x14ac:dyDescent="0.3">
      <c r="G269" s="18">
        <v>220</v>
      </c>
      <c r="H269" s="19">
        <f t="shared" si="47"/>
        <v>44.43</v>
      </c>
      <c r="I269" s="19">
        <f t="shared" si="48"/>
        <v>-7.46</v>
      </c>
      <c r="J269" s="19">
        <f t="shared" si="49"/>
        <v>2.1880000000000002</v>
      </c>
      <c r="N269">
        <v>238</v>
      </c>
      <c r="O269" t="s">
        <v>37</v>
      </c>
      <c r="P269" t="s">
        <v>21</v>
      </c>
      <c r="Q269" t="s">
        <v>20</v>
      </c>
      <c r="R269">
        <f t="shared" si="41"/>
        <v>253</v>
      </c>
      <c r="S269">
        <v>54</v>
      </c>
      <c r="T269">
        <v>0.112</v>
      </c>
      <c r="U269">
        <v>0.75</v>
      </c>
    </row>
    <row r="270" spans="7:21" x14ac:dyDescent="0.3">
      <c r="G270" s="18">
        <v>221</v>
      </c>
      <c r="H270" s="19">
        <f t="shared" si="47"/>
        <v>44.43</v>
      </c>
      <c r="I270" s="19">
        <f t="shared" si="48"/>
        <v>0</v>
      </c>
      <c r="J270" s="19">
        <f t="shared" si="49"/>
        <v>2.222</v>
      </c>
      <c r="N270">
        <v>239</v>
      </c>
      <c r="O270" t="s">
        <v>37</v>
      </c>
      <c r="P270" t="s">
        <v>21</v>
      </c>
      <c r="Q270" t="s">
        <v>20</v>
      </c>
      <c r="R270" s="18">
        <v>218</v>
      </c>
      <c r="S270" s="18">
        <f t="shared" si="50"/>
        <v>227</v>
      </c>
      <c r="T270">
        <v>0.112</v>
      </c>
      <c r="U270">
        <v>0.75</v>
      </c>
    </row>
    <row r="271" spans="7:21" x14ac:dyDescent="0.3">
      <c r="G271" s="18">
        <v>222</v>
      </c>
      <c r="H271" s="19">
        <f t="shared" si="47"/>
        <v>44.43</v>
      </c>
      <c r="I271" s="19">
        <f t="shared" si="48"/>
        <v>7.46</v>
      </c>
      <c r="J271" s="19">
        <f t="shared" si="49"/>
        <v>2.1880000000000002</v>
      </c>
      <c r="N271">
        <v>240</v>
      </c>
      <c r="O271" t="s">
        <v>37</v>
      </c>
      <c r="P271" t="s">
        <v>21</v>
      </c>
      <c r="Q271" t="s">
        <v>20</v>
      </c>
      <c r="R271" s="18">
        <f t="shared" si="41"/>
        <v>227</v>
      </c>
      <c r="S271" s="18">
        <f t="shared" si="50"/>
        <v>236</v>
      </c>
      <c r="T271">
        <v>0.112</v>
      </c>
      <c r="U271">
        <v>0.75</v>
      </c>
    </row>
    <row r="272" spans="7:21" x14ac:dyDescent="0.3">
      <c r="G272" s="18">
        <v>223</v>
      </c>
      <c r="H272" s="19">
        <f t="shared" si="47"/>
        <v>44.43</v>
      </c>
      <c r="I272" s="19">
        <f t="shared" si="48"/>
        <v>14.68</v>
      </c>
      <c r="J272" s="19">
        <f t="shared" si="49"/>
        <v>2.08</v>
      </c>
      <c r="N272">
        <v>241</v>
      </c>
      <c r="O272" t="s">
        <v>37</v>
      </c>
      <c r="P272" t="s">
        <v>21</v>
      </c>
      <c r="Q272" t="s">
        <v>20</v>
      </c>
      <c r="R272" s="18">
        <f t="shared" si="41"/>
        <v>236</v>
      </c>
      <c r="S272" s="18">
        <f t="shared" si="50"/>
        <v>245</v>
      </c>
      <c r="T272">
        <v>0.112</v>
      </c>
      <c r="U272">
        <v>0.75</v>
      </c>
    </row>
    <row r="273" spans="7:21" x14ac:dyDescent="0.3">
      <c r="G273" s="18">
        <v>224</v>
      </c>
      <c r="H273" s="19">
        <f t="shared" si="47"/>
        <v>42.346695028848018</v>
      </c>
      <c r="I273" s="19">
        <f t="shared" si="48"/>
        <v>22.455000000000002</v>
      </c>
      <c r="J273" s="19">
        <f t="shared" si="49"/>
        <v>2.0533333333333332</v>
      </c>
      <c r="N273">
        <v>242</v>
      </c>
      <c r="O273" t="s">
        <v>37</v>
      </c>
      <c r="P273" t="s">
        <v>21</v>
      </c>
      <c r="Q273" t="s">
        <v>20</v>
      </c>
      <c r="R273" s="18">
        <f t="shared" si="41"/>
        <v>245</v>
      </c>
      <c r="S273" s="18">
        <f t="shared" si="50"/>
        <v>254</v>
      </c>
      <c r="T273">
        <v>0.112</v>
      </c>
      <c r="U273">
        <v>0.75</v>
      </c>
    </row>
    <row r="274" spans="7:21" x14ac:dyDescent="0.3">
      <c r="G274" s="18">
        <v>225</v>
      </c>
      <c r="H274" s="19">
        <f t="shared" si="47"/>
        <v>36.655000000000001</v>
      </c>
      <c r="I274" s="19">
        <f t="shared" si="48"/>
        <v>28.146695028848022</v>
      </c>
      <c r="J274" s="19">
        <f t="shared" si="49"/>
        <v>2.0266666666666664</v>
      </c>
      <c r="N274">
        <v>243</v>
      </c>
      <c r="O274" t="s">
        <v>37</v>
      </c>
      <c r="P274" t="s">
        <v>21</v>
      </c>
      <c r="Q274" t="s">
        <v>20</v>
      </c>
      <c r="R274" s="18">
        <f t="shared" si="41"/>
        <v>254</v>
      </c>
      <c r="S274" s="18">
        <v>54</v>
      </c>
      <c r="T274">
        <v>0.112</v>
      </c>
      <c r="U274">
        <v>0.75</v>
      </c>
    </row>
    <row r="275" spans="7:21" x14ac:dyDescent="0.3">
      <c r="G275">
        <v>226</v>
      </c>
      <c r="H275" s="20">
        <f>-H230</f>
        <v>35.229999999999997</v>
      </c>
      <c r="I275" s="20">
        <f>I230</f>
        <v>-25.678522628062371</v>
      </c>
      <c r="J275" s="20">
        <f>J230</f>
        <v>2.6419999999999999</v>
      </c>
      <c r="N275">
        <v>244</v>
      </c>
      <c r="O275" t="s">
        <v>38</v>
      </c>
      <c r="P275" t="s">
        <v>21</v>
      </c>
      <c r="Q275" t="s">
        <v>20</v>
      </c>
      <c r="R275">
        <v>220</v>
      </c>
      <c r="S275">
        <f t="shared" si="50"/>
        <v>229</v>
      </c>
      <c r="T275">
        <v>0.112</v>
      </c>
      <c r="U275">
        <v>0.75</v>
      </c>
    </row>
    <row r="276" spans="7:21" x14ac:dyDescent="0.3">
      <c r="G276">
        <v>227</v>
      </c>
      <c r="H276" s="20">
        <f t="shared" si="47"/>
        <v>39.87852262806237</v>
      </c>
      <c r="I276" s="20">
        <f t="shared" ref="I276:I283" si="51">I231</f>
        <v>-21.03</v>
      </c>
      <c r="J276" s="20">
        <f t="shared" si="49"/>
        <v>2.6710000000000003</v>
      </c>
      <c r="N276">
        <v>245</v>
      </c>
      <c r="O276" t="s">
        <v>38</v>
      </c>
      <c r="P276" t="s">
        <v>21</v>
      </c>
      <c r="Q276" t="s">
        <v>20</v>
      </c>
      <c r="R276">
        <f t="shared" si="41"/>
        <v>229</v>
      </c>
      <c r="S276">
        <f t="shared" si="50"/>
        <v>238</v>
      </c>
      <c r="T276">
        <v>0.112</v>
      </c>
      <c r="U276">
        <v>0.75</v>
      </c>
    </row>
    <row r="277" spans="7:21" x14ac:dyDescent="0.3">
      <c r="G277">
        <v>228</v>
      </c>
      <c r="H277" s="20">
        <f t="shared" si="47"/>
        <v>41.58</v>
      </c>
      <c r="I277" s="20">
        <f t="shared" si="51"/>
        <v>-14.68</v>
      </c>
      <c r="J277" s="20">
        <f t="shared" si="49"/>
        <v>2.7</v>
      </c>
      <c r="N277">
        <v>246</v>
      </c>
      <c r="O277" t="s">
        <v>38</v>
      </c>
      <c r="P277" t="s">
        <v>21</v>
      </c>
      <c r="Q277" t="s">
        <v>20</v>
      </c>
      <c r="R277">
        <f t="shared" si="41"/>
        <v>238</v>
      </c>
      <c r="S277">
        <f t="shared" si="50"/>
        <v>247</v>
      </c>
      <c r="T277">
        <v>0.112</v>
      </c>
      <c r="U277">
        <v>0.75</v>
      </c>
    </row>
    <row r="278" spans="7:21" x14ac:dyDescent="0.3">
      <c r="G278">
        <v>229</v>
      </c>
      <c r="H278" s="20">
        <f t="shared" si="47"/>
        <v>41.58</v>
      </c>
      <c r="I278" s="20">
        <f t="shared" si="51"/>
        <v>-7.46</v>
      </c>
      <c r="J278" s="20">
        <f t="shared" si="49"/>
        <v>2.8540000000000001</v>
      </c>
      <c r="N278">
        <v>247</v>
      </c>
      <c r="O278" t="s">
        <v>38</v>
      </c>
      <c r="P278" t="s">
        <v>21</v>
      </c>
      <c r="Q278" t="s">
        <v>20</v>
      </c>
      <c r="R278">
        <f t="shared" si="41"/>
        <v>247</v>
      </c>
      <c r="S278">
        <f t="shared" si="50"/>
        <v>256</v>
      </c>
      <c r="T278">
        <v>0.112</v>
      </c>
      <c r="U278">
        <v>0.75</v>
      </c>
    </row>
    <row r="279" spans="7:21" x14ac:dyDescent="0.3">
      <c r="G279">
        <v>230</v>
      </c>
      <c r="H279" s="20">
        <f t="shared" si="47"/>
        <v>41.58</v>
      </c>
      <c r="I279" s="20">
        <f t="shared" si="51"/>
        <v>0</v>
      </c>
      <c r="J279" s="20">
        <f t="shared" si="49"/>
        <v>2.9140000000000001</v>
      </c>
      <c r="N279">
        <v>248</v>
      </c>
      <c r="O279" t="s">
        <v>38</v>
      </c>
      <c r="P279" t="s">
        <v>21</v>
      </c>
      <c r="Q279" t="s">
        <v>20</v>
      </c>
      <c r="R279">
        <f t="shared" si="41"/>
        <v>256</v>
      </c>
      <c r="S279">
        <v>72</v>
      </c>
      <c r="T279">
        <v>0.112</v>
      </c>
      <c r="U279">
        <v>0.75</v>
      </c>
    </row>
    <row r="280" spans="7:21" x14ac:dyDescent="0.3">
      <c r="G280">
        <v>231</v>
      </c>
      <c r="H280" s="20">
        <f t="shared" si="47"/>
        <v>41.58</v>
      </c>
      <c r="I280" s="20">
        <f t="shared" si="51"/>
        <v>7.46</v>
      </c>
      <c r="J280" s="20">
        <f t="shared" si="49"/>
        <v>2.8540000000000001</v>
      </c>
      <c r="N280">
        <v>249</v>
      </c>
      <c r="O280" t="s">
        <v>38</v>
      </c>
      <c r="P280" t="s">
        <v>21</v>
      </c>
      <c r="Q280" t="s">
        <v>20</v>
      </c>
      <c r="R280" s="18">
        <v>221</v>
      </c>
      <c r="S280" s="18">
        <f t="shared" si="50"/>
        <v>230</v>
      </c>
      <c r="T280">
        <v>0.112</v>
      </c>
      <c r="U280">
        <v>0.75</v>
      </c>
    </row>
    <row r="281" spans="7:21" x14ac:dyDescent="0.3">
      <c r="G281">
        <v>232</v>
      </c>
      <c r="H281" s="20">
        <f t="shared" si="47"/>
        <v>41.58</v>
      </c>
      <c r="I281" s="20">
        <f t="shared" si="51"/>
        <v>14.68</v>
      </c>
      <c r="J281" s="20">
        <f t="shared" si="49"/>
        <v>2.7</v>
      </c>
      <c r="N281">
        <v>250</v>
      </c>
      <c r="O281" t="s">
        <v>38</v>
      </c>
      <c r="P281" t="s">
        <v>21</v>
      </c>
      <c r="Q281" t="s">
        <v>20</v>
      </c>
      <c r="R281" s="18">
        <f t="shared" si="41"/>
        <v>230</v>
      </c>
      <c r="S281" s="18">
        <f t="shared" si="50"/>
        <v>239</v>
      </c>
      <c r="T281">
        <v>0.112</v>
      </c>
      <c r="U281">
        <v>0.75</v>
      </c>
    </row>
    <row r="282" spans="7:21" x14ac:dyDescent="0.3">
      <c r="G282">
        <v>233</v>
      </c>
      <c r="H282" s="20">
        <f t="shared" si="47"/>
        <v>39.87852262806237</v>
      </c>
      <c r="I282" s="20">
        <f t="shared" si="51"/>
        <v>21.03</v>
      </c>
      <c r="J282" s="20">
        <f t="shared" si="49"/>
        <v>2.6710000000000003</v>
      </c>
      <c r="N282">
        <v>251</v>
      </c>
      <c r="O282" t="s">
        <v>38</v>
      </c>
      <c r="P282" t="s">
        <v>21</v>
      </c>
      <c r="Q282" t="s">
        <v>20</v>
      </c>
      <c r="R282" s="18">
        <f t="shared" si="41"/>
        <v>239</v>
      </c>
      <c r="S282" s="18">
        <f t="shared" si="50"/>
        <v>248</v>
      </c>
      <c r="T282">
        <v>0.112</v>
      </c>
      <c r="U282">
        <v>0.75</v>
      </c>
    </row>
    <row r="283" spans="7:21" x14ac:dyDescent="0.3">
      <c r="G283">
        <v>234</v>
      </c>
      <c r="H283" s="20">
        <f t="shared" si="47"/>
        <v>35.229999999999997</v>
      </c>
      <c r="I283" s="20">
        <f t="shared" si="51"/>
        <v>25.678522628062371</v>
      </c>
      <c r="J283" s="20">
        <f t="shared" si="49"/>
        <v>2.6419999999999999</v>
      </c>
      <c r="N283">
        <v>252</v>
      </c>
      <c r="O283" t="s">
        <v>38</v>
      </c>
      <c r="P283" t="s">
        <v>21</v>
      </c>
      <c r="Q283" t="s">
        <v>20</v>
      </c>
      <c r="R283" s="18">
        <f t="shared" si="41"/>
        <v>248</v>
      </c>
      <c r="S283" s="18">
        <f t="shared" si="50"/>
        <v>257</v>
      </c>
      <c r="T283">
        <v>0.112</v>
      </c>
      <c r="U283">
        <v>0.75</v>
      </c>
    </row>
    <row r="284" spans="7:21" x14ac:dyDescent="0.3">
      <c r="G284" s="18">
        <v>235</v>
      </c>
      <c r="H284" s="19">
        <f>-H239</f>
        <v>33.7575</v>
      </c>
      <c r="I284" s="19">
        <f>I239</f>
        <v>-23.128077813917198</v>
      </c>
      <c r="J284" s="19">
        <f>J239</f>
        <v>3.1293333333333333</v>
      </c>
      <c r="N284">
        <v>253</v>
      </c>
      <c r="O284" t="s">
        <v>38</v>
      </c>
      <c r="P284" t="s">
        <v>21</v>
      </c>
      <c r="Q284" t="s">
        <v>20</v>
      </c>
      <c r="R284" s="18">
        <f t="shared" si="41"/>
        <v>257</v>
      </c>
      <c r="S284" s="18">
        <v>90</v>
      </c>
      <c r="T284">
        <v>0.112</v>
      </c>
      <c r="U284">
        <v>0.75</v>
      </c>
    </row>
    <row r="285" spans="7:21" x14ac:dyDescent="0.3">
      <c r="G285" s="18">
        <v>236</v>
      </c>
      <c r="H285" s="19">
        <f t="shared" si="47"/>
        <v>37.328077813917197</v>
      </c>
      <c r="I285" s="19">
        <f t="shared" ref="I285:I292" si="52">I240</f>
        <v>-19.557500000000001</v>
      </c>
      <c r="J285" s="19">
        <f t="shared" si="49"/>
        <v>3.1646666666666663</v>
      </c>
      <c r="N285">
        <v>254</v>
      </c>
      <c r="O285" t="s">
        <v>38</v>
      </c>
      <c r="P285" t="s">
        <v>21</v>
      </c>
      <c r="Q285" t="s">
        <v>20</v>
      </c>
      <c r="R285">
        <v>222</v>
      </c>
      <c r="S285">
        <f t="shared" si="50"/>
        <v>231</v>
      </c>
      <c r="T285">
        <v>0.112</v>
      </c>
      <c r="U285">
        <v>0.75</v>
      </c>
    </row>
    <row r="286" spans="7:21" x14ac:dyDescent="0.3">
      <c r="G286" s="18">
        <v>237</v>
      </c>
      <c r="H286" s="19">
        <f t="shared" si="47"/>
        <v>38.634999999999998</v>
      </c>
      <c r="I286" s="19">
        <f t="shared" si="52"/>
        <v>-14.68</v>
      </c>
      <c r="J286" s="19">
        <f t="shared" si="49"/>
        <v>3.2</v>
      </c>
      <c r="N286">
        <v>255</v>
      </c>
      <c r="O286" t="s">
        <v>38</v>
      </c>
      <c r="P286" t="s">
        <v>21</v>
      </c>
      <c r="Q286" t="s">
        <v>20</v>
      </c>
      <c r="R286">
        <f t="shared" si="41"/>
        <v>231</v>
      </c>
      <c r="S286">
        <f t="shared" si="50"/>
        <v>240</v>
      </c>
      <c r="T286">
        <v>0.112</v>
      </c>
      <c r="U286">
        <v>0.75</v>
      </c>
    </row>
    <row r="287" spans="7:21" x14ac:dyDescent="0.3">
      <c r="G287" s="18">
        <v>238</v>
      </c>
      <c r="H287" s="19">
        <f t="shared" si="47"/>
        <v>38.634999999999998</v>
      </c>
      <c r="I287" s="19">
        <f t="shared" si="52"/>
        <v>-7.46</v>
      </c>
      <c r="J287" s="19">
        <f t="shared" si="49"/>
        <v>3.4319999999999999</v>
      </c>
      <c r="N287">
        <v>256</v>
      </c>
      <c r="O287" t="s">
        <v>38</v>
      </c>
      <c r="P287" t="s">
        <v>21</v>
      </c>
      <c r="Q287" t="s">
        <v>20</v>
      </c>
      <c r="R287">
        <f t="shared" si="41"/>
        <v>240</v>
      </c>
      <c r="S287">
        <f t="shared" si="50"/>
        <v>249</v>
      </c>
      <c r="T287">
        <v>0.112</v>
      </c>
      <c r="U287">
        <v>0.75</v>
      </c>
    </row>
    <row r="288" spans="7:21" x14ac:dyDescent="0.3">
      <c r="G288" s="18">
        <v>239</v>
      </c>
      <c r="H288" s="19">
        <f t="shared" si="47"/>
        <v>38.634999999999998</v>
      </c>
      <c r="I288" s="19">
        <f t="shared" si="52"/>
        <v>0</v>
      </c>
      <c r="J288" s="19">
        <f t="shared" si="49"/>
        <v>3.5129999999999999</v>
      </c>
      <c r="N288">
        <v>257</v>
      </c>
      <c r="O288" t="s">
        <v>38</v>
      </c>
      <c r="P288" t="s">
        <v>21</v>
      </c>
      <c r="Q288" t="s">
        <v>20</v>
      </c>
      <c r="R288">
        <f t="shared" ref="R288:R354" si="53">S287</f>
        <v>249</v>
      </c>
      <c r="S288">
        <f t="shared" si="50"/>
        <v>258</v>
      </c>
      <c r="T288">
        <v>0.112</v>
      </c>
      <c r="U288">
        <v>0.75</v>
      </c>
    </row>
    <row r="289" spans="7:21" x14ac:dyDescent="0.3">
      <c r="G289" s="18">
        <v>240</v>
      </c>
      <c r="H289" s="19">
        <f t="shared" si="47"/>
        <v>38.634999999999998</v>
      </c>
      <c r="I289" s="19">
        <f t="shared" si="52"/>
        <v>7.46</v>
      </c>
      <c r="J289" s="19">
        <f t="shared" si="49"/>
        <v>3.4319999999999999</v>
      </c>
      <c r="N289">
        <v>258</v>
      </c>
      <c r="O289" t="s">
        <v>38</v>
      </c>
      <c r="P289" t="s">
        <v>21</v>
      </c>
      <c r="Q289" t="s">
        <v>20</v>
      </c>
      <c r="R289">
        <f t="shared" si="53"/>
        <v>258</v>
      </c>
      <c r="S289">
        <v>108</v>
      </c>
      <c r="T289">
        <v>0.112</v>
      </c>
      <c r="U289">
        <v>0.75</v>
      </c>
    </row>
    <row r="290" spans="7:21" x14ac:dyDescent="0.3">
      <c r="G290" s="18">
        <v>241</v>
      </c>
      <c r="H290" s="19">
        <f t="shared" si="47"/>
        <v>38.634999999999998</v>
      </c>
      <c r="I290" s="19">
        <f t="shared" si="52"/>
        <v>14.68</v>
      </c>
      <c r="J290" s="19">
        <f t="shared" si="49"/>
        <v>3.2</v>
      </c>
      <c r="N290">
        <v>259</v>
      </c>
      <c r="O290" t="s">
        <v>37</v>
      </c>
      <c r="P290" t="s">
        <v>21</v>
      </c>
      <c r="Q290" t="s">
        <v>20</v>
      </c>
      <c r="R290" s="18">
        <v>224</v>
      </c>
      <c r="S290" s="18">
        <f t="shared" si="50"/>
        <v>233</v>
      </c>
      <c r="T290">
        <v>0.112</v>
      </c>
      <c r="U290">
        <v>0.75</v>
      </c>
    </row>
    <row r="291" spans="7:21" x14ac:dyDescent="0.3">
      <c r="G291" s="18">
        <v>242</v>
      </c>
      <c r="H291" s="19">
        <f t="shared" si="47"/>
        <v>37.328077813917197</v>
      </c>
      <c r="I291" s="19">
        <f t="shared" si="52"/>
        <v>19.557500000000001</v>
      </c>
      <c r="J291" s="19">
        <f t="shared" si="49"/>
        <v>3.1646666666666663</v>
      </c>
      <c r="N291">
        <v>260</v>
      </c>
      <c r="O291" t="s">
        <v>37</v>
      </c>
      <c r="P291" t="s">
        <v>21</v>
      </c>
      <c r="Q291" t="s">
        <v>20</v>
      </c>
      <c r="R291" s="18">
        <f t="shared" si="53"/>
        <v>233</v>
      </c>
      <c r="S291" s="18">
        <f t="shared" si="50"/>
        <v>242</v>
      </c>
      <c r="T291">
        <v>0.112</v>
      </c>
      <c r="U291">
        <v>0.75</v>
      </c>
    </row>
    <row r="292" spans="7:21" x14ac:dyDescent="0.3">
      <c r="G292" s="18">
        <v>243</v>
      </c>
      <c r="H292" s="19">
        <f t="shared" si="47"/>
        <v>33.7575</v>
      </c>
      <c r="I292" s="19">
        <f t="shared" si="52"/>
        <v>23.128077813917198</v>
      </c>
      <c r="J292" s="19">
        <f t="shared" si="49"/>
        <v>3.1293333333333333</v>
      </c>
      <c r="N292">
        <v>261</v>
      </c>
      <c r="O292" t="s">
        <v>37</v>
      </c>
      <c r="P292" t="s">
        <v>21</v>
      </c>
      <c r="Q292" t="s">
        <v>20</v>
      </c>
      <c r="R292" s="18">
        <f t="shared" si="53"/>
        <v>242</v>
      </c>
      <c r="S292" s="18">
        <f t="shared" si="50"/>
        <v>251</v>
      </c>
      <c r="T292">
        <v>0.112</v>
      </c>
      <c r="U292">
        <v>0.75</v>
      </c>
    </row>
    <row r="293" spans="7:21" x14ac:dyDescent="0.3">
      <c r="G293">
        <v>244</v>
      </c>
      <c r="H293" s="20">
        <f>-H248</f>
        <v>32.244999999999997</v>
      </c>
      <c r="I293" s="20">
        <f>I248</f>
        <v>-20.508350967469273</v>
      </c>
      <c r="J293" s="20">
        <f>J248</f>
        <v>3.5086666666666666</v>
      </c>
      <c r="N293">
        <v>262</v>
      </c>
      <c r="O293" t="s">
        <v>37</v>
      </c>
      <c r="P293" t="s">
        <v>21</v>
      </c>
      <c r="Q293" t="s">
        <v>20</v>
      </c>
      <c r="R293" s="18">
        <f t="shared" si="53"/>
        <v>251</v>
      </c>
      <c r="S293" s="18">
        <f t="shared" si="50"/>
        <v>260</v>
      </c>
      <c r="T293">
        <v>0.112</v>
      </c>
      <c r="U293">
        <v>0.75</v>
      </c>
    </row>
    <row r="294" spans="7:21" x14ac:dyDescent="0.3">
      <c r="G294">
        <v>245</v>
      </c>
      <c r="H294" s="20">
        <f t="shared" si="47"/>
        <v>34.708350967469272</v>
      </c>
      <c r="I294" s="20">
        <f t="shared" si="49"/>
        <v>-18.045000000000002</v>
      </c>
      <c r="J294" s="20">
        <f t="shared" si="49"/>
        <v>3.5293333333333337</v>
      </c>
      <c r="N294">
        <v>263</v>
      </c>
      <c r="O294" t="s">
        <v>37</v>
      </c>
      <c r="P294" t="s">
        <v>21</v>
      </c>
      <c r="Q294" t="s">
        <v>20</v>
      </c>
      <c r="R294" s="18">
        <f t="shared" si="53"/>
        <v>260</v>
      </c>
      <c r="S294" s="18">
        <v>126</v>
      </c>
      <c r="T294">
        <v>0.112</v>
      </c>
      <c r="U294">
        <v>0.75</v>
      </c>
    </row>
    <row r="295" spans="7:21" x14ac:dyDescent="0.3">
      <c r="G295">
        <v>246</v>
      </c>
      <c r="H295" s="20">
        <f t="shared" si="47"/>
        <v>35.61</v>
      </c>
      <c r="I295" s="20">
        <f t="shared" si="49"/>
        <v>-14.68</v>
      </c>
      <c r="J295" s="20">
        <f t="shared" si="49"/>
        <v>3.55</v>
      </c>
      <c r="N295">
        <v>264</v>
      </c>
      <c r="O295" t="s">
        <v>37</v>
      </c>
      <c r="P295" t="s">
        <v>21</v>
      </c>
      <c r="Q295" t="s">
        <v>20</v>
      </c>
      <c r="R295">
        <v>225</v>
      </c>
      <c r="S295">
        <f t="shared" si="50"/>
        <v>234</v>
      </c>
      <c r="T295">
        <v>0.112</v>
      </c>
      <c r="U295">
        <v>0.75</v>
      </c>
    </row>
    <row r="296" spans="7:21" x14ac:dyDescent="0.3">
      <c r="G296">
        <v>247</v>
      </c>
      <c r="H296" s="20">
        <f t="shared" si="47"/>
        <v>35.61</v>
      </c>
      <c r="I296" s="20">
        <f t="shared" si="49"/>
        <v>-7.46</v>
      </c>
      <c r="J296" s="20">
        <f t="shared" si="49"/>
        <v>3.8090000000000002</v>
      </c>
      <c r="N296">
        <v>265</v>
      </c>
      <c r="O296" t="s">
        <v>37</v>
      </c>
      <c r="P296" t="s">
        <v>21</v>
      </c>
      <c r="Q296" t="s">
        <v>20</v>
      </c>
      <c r="R296">
        <f t="shared" si="53"/>
        <v>234</v>
      </c>
      <c r="S296">
        <f t="shared" si="50"/>
        <v>243</v>
      </c>
      <c r="T296">
        <v>0.112</v>
      </c>
      <c r="U296">
        <v>0.75</v>
      </c>
    </row>
    <row r="297" spans="7:21" x14ac:dyDescent="0.3">
      <c r="G297">
        <v>248</v>
      </c>
      <c r="H297" s="20">
        <f t="shared" si="47"/>
        <v>35.61</v>
      </c>
      <c r="I297" s="20">
        <f t="shared" si="49"/>
        <v>0</v>
      </c>
      <c r="J297" s="20">
        <f t="shared" si="49"/>
        <v>3.9049999999999998</v>
      </c>
      <c r="N297">
        <v>266</v>
      </c>
      <c r="O297" t="s">
        <v>37</v>
      </c>
      <c r="P297" t="s">
        <v>21</v>
      </c>
      <c r="Q297" t="s">
        <v>20</v>
      </c>
      <c r="R297">
        <f t="shared" si="53"/>
        <v>243</v>
      </c>
      <c r="S297">
        <f t="shared" si="50"/>
        <v>252</v>
      </c>
      <c r="T297">
        <v>0.112</v>
      </c>
      <c r="U297">
        <v>0.75</v>
      </c>
    </row>
    <row r="298" spans="7:21" x14ac:dyDescent="0.3">
      <c r="G298">
        <v>249</v>
      </c>
      <c r="H298" s="20">
        <f t="shared" si="47"/>
        <v>35.61</v>
      </c>
      <c r="I298" s="20">
        <f t="shared" si="49"/>
        <v>7.46</v>
      </c>
      <c r="J298" s="20">
        <f t="shared" si="49"/>
        <v>3.8090000000000002</v>
      </c>
      <c r="N298">
        <v>267</v>
      </c>
      <c r="O298" t="s">
        <v>37</v>
      </c>
      <c r="P298" t="s">
        <v>21</v>
      </c>
      <c r="Q298" t="s">
        <v>20</v>
      </c>
      <c r="R298">
        <f t="shared" si="53"/>
        <v>252</v>
      </c>
      <c r="S298">
        <f t="shared" si="50"/>
        <v>261</v>
      </c>
      <c r="T298">
        <v>0.112</v>
      </c>
      <c r="U298">
        <v>0.75</v>
      </c>
    </row>
    <row r="299" spans="7:21" x14ac:dyDescent="0.3">
      <c r="G299">
        <v>250</v>
      </c>
      <c r="H299" s="20">
        <f t="shared" si="47"/>
        <v>35.61</v>
      </c>
      <c r="I299" s="20">
        <f t="shared" si="49"/>
        <v>14.68</v>
      </c>
      <c r="J299" s="20">
        <f t="shared" si="49"/>
        <v>3.55</v>
      </c>
      <c r="N299">
        <v>268</v>
      </c>
      <c r="O299" t="s">
        <v>37</v>
      </c>
      <c r="P299" t="s">
        <v>21</v>
      </c>
      <c r="Q299" t="s">
        <v>20</v>
      </c>
      <c r="R299">
        <f t="shared" si="53"/>
        <v>261</v>
      </c>
      <c r="S299">
        <v>126</v>
      </c>
      <c r="T299">
        <v>0.112</v>
      </c>
      <c r="U299">
        <v>0.75</v>
      </c>
    </row>
    <row r="300" spans="7:21" x14ac:dyDescent="0.3">
      <c r="G300">
        <v>251</v>
      </c>
      <c r="H300" s="20">
        <f t="shared" si="47"/>
        <v>34.708350967469272</v>
      </c>
      <c r="I300" s="20">
        <f t="shared" si="49"/>
        <v>18.045000000000002</v>
      </c>
      <c r="J300" s="20">
        <f t="shared" si="49"/>
        <v>3.5293333333333337</v>
      </c>
      <c r="N300">
        <v>269</v>
      </c>
      <c r="O300" t="s">
        <v>39</v>
      </c>
      <c r="P300" t="s">
        <v>23</v>
      </c>
      <c r="Q300" t="s">
        <v>42</v>
      </c>
      <c r="R300" s="21">
        <v>10</v>
      </c>
      <c r="S300" s="21">
        <f>R300+1</f>
        <v>11</v>
      </c>
      <c r="T300">
        <v>8.7999999999999995E-2</v>
      </c>
      <c r="U300">
        <v>0.61</v>
      </c>
    </row>
    <row r="301" spans="7:21" x14ac:dyDescent="0.3">
      <c r="G301">
        <v>252</v>
      </c>
      <c r="H301" s="20">
        <f t="shared" si="47"/>
        <v>32.244999999999997</v>
      </c>
      <c r="I301" s="20">
        <f t="shared" si="49"/>
        <v>20.508350967469273</v>
      </c>
      <c r="J301" s="20">
        <f t="shared" si="49"/>
        <v>3.5086666666666666</v>
      </c>
      <c r="N301">
        <v>270</v>
      </c>
      <c r="O301" t="s">
        <v>39</v>
      </c>
      <c r="P301" t="s">
        <v>23</v>
      </c>
      <c r="Q301" t="s">
        <v>42</v>
      </c>
      <c r="R301" s="21">
        <f t="shared" si="53"/>
        <v>11</v>
      </c>
      <c r="S301" s="21">
        <f>R301+1</f>
        <v>12</v>
      </c>
      <c r="T301">
        <v>8.7999999999999995E-2</v>
      </c>
      <c r="U301">
        <v>0.61</v>
      </c>
    </row>
    <row r="302" spans="7:21" x14ac:dyDescent="0.3">
      <c r="G302" s="18">
        <v>253</v>
      </c>
      <c r="H302" s="19">
        <f>-H257</f>
        <v>30.7</v>
      </c>
      <c r="I302" s="19">
        <f>I257</f>
        <v>-17.832332469775359</v>
      </c>
      <c r="J302" s="19">
        <f>J257</f>
        <v>3.8959999999999999</v>
      </c>
      <c r="N302">
        <v>271</v>
      </c>
      <c r="O302" t="s">
        <v>39</v>
      </c>
      <c r="P302" t="s">
        <v>23</v>
      </c>
      <c r="Q302" t="s">
        <v>42</v>
      </c>
      <c r="R302" s="21">
        <f t="shared" si="53"/>
        <v>12</v>
      </c>
      <c r="S302" s="21">
        <f t="shared" ref="S302:S306" si="54">R302+1</f>
        <v>13</v>
      </c>
      <c r="T302">
        <v>8.7999999999999995E-2</v>
      </c>
      <c r="U302">
        <v>0.61</v>
      </c>
    </row>
    <row r="303" spans="7:21" x14ac:dyDescent="0.3">
      <c r="G303" s="18">
        <v>254</v>
      </c>
      <c r="H303" s="19">
        <f t="shared" si="47"/>
        <v>32.032332469775362</v>
      </c>
      <c r="I303" s="19">
        <f t="shared" ref="I303" si="55">I258</f>
        <v>-16.500000000000004</v>
      </c>
      <c r="J303" s="19">
        <f t="shared" si="49"/>
        <v>3.9979999999999993</v>
      </c>
      <c r="N303">
        <v>272</v>
      </c>
      <c r="O303" t="s">
        <v>39</v>
      </c>
      <c r="P303" t="s">
        <v>23</v>
      </c>
      <c r="Q303" t="s">
        <v>42</v>
      </c>
      <c r="R303" s="21">
        <f t="shared" si="53"/>
        <v>13</v>
      </c>
      <c r="S303" s="21">
        <f t="shared" si="54"/>
        <v>14</v>
      </c>
      <c r="T303">
        <v>8.7999999999999995E-2</v>
      </c>
      <c r="U303">
        <v>0.61</v>
      </c>
    </row>
    <row r="304" spans="7:21" x14ac:dyDescent="0.3">
      <c r="G304" s="18">
        <v>255</v>
      </c>
      <c r="H304" s="19">
        <f t="shared" si="47"/>
        <v>32.520000000000003</v>
      </c>
      <c r="I304" s="19">
        <f t="shared" ref="I304" si="56">I259</f>
        <v>-14.68</v>
      </c>
      <c r="J304" s="19">
        <f t="shared" si="49"/>
        <v>4.0999999999999996</v>
      </c>
      <c r="N304">
        <v>273</v>
      </c>
      <c r="O304" t="s">
        <v>39</v>
      </c>
      <c r="P304" t="s">
        <v>23</v>
      </c>
      <c r="Q304" t="s">
        <v>42</v>
      </c>
      <c r="R304" s="21">
        <f t="shared" si="53"/>
        <v>14</v>
      </c>
      <c r="S304" s="21">
        <f t="shared" si="54"/>
        <v>15</v>
      </c>
      <c r="T304">
        <v>8.7999999999999995E-2</v>
      </c>
      <c r="U304">
        <v>0.61</v>
      </c>
    </row>
    <row r="305" spans="7:21" x14ac:dyDescent="0.3">
      <c r="G305" s="18">
        <v>256</v>
      </c>
      <c r="H305" s="19">
        <f t="shared" si="47"/>
        <v>32.520000000000003</v>
      </c>
      <c r="I305" s="19">
        <f t="shared" ref="I305" si="57">I260</f>
        <v>-7.46</v>
      </c>
      <c r="J305" s="19">
        <f t="shared" si="49"/>
        <v>4.4089999999999998</v>
      </c>
      <c r="N305">
        <v>274</v>
      </c>
      <c r="O305" t="s">
        <v>39</v>
      </c>
      <c r="P305" t="s">
        <v>23</v>
      </c>
      <c r="Q305" t="s">
        <v>42</v>
      </c>
      <c r="R305" s="21">
        <f t="shared" si="53"/>
        <v>15</v>
      </c>
      <c r="S305" s="21">
        <f t="shared" si="54"/>
        <v>16</v>
      </c>
      <c r="T305">
        <v>8.7999999999999995E-2</v>
      </c>
      <c r="U305">
        <v>0.61</v>
      </c>
    </row>
    <row r="306" spans="7:21" x14ac:dyDescent="0.3">
      <c r="G306" s="18">
        <v>257</v>
      </c>
      <c r="H306" s="19">
        <f t="shared" si="47"/>
        <v>32.520000000000003</v>
      </c>
      <c r="I306" s="19">
        <f t="shared" ref="I306" si="58">I261</f>
        <v>0</v>
      </c>
      <c r="J306" s="19">
        <f t="shared" si="49"/>
        <v>4.5279999999999996</v>
      </c>
      <c r="N306">
        <v>275</v>
      </c>
      <c r="O306" t="s">
        <v>39</v>
      </c>
      <c r="P306" t="s">
        <v>23</v>
      </c>
      <c r="Q306" t="s">
        <v>42</v>
      </c>
      <c r="R306" s="21">
        <f t="shared" si="53"/>
        <v>16</v>
      </c>
      <c r="S306" s="21">
        <f t="shared" si="54"/>
        <v>17</v>
      </c>
      <c r="T306">
        <v>8.7999999999999995E-2</v>
      </c>
      <c r="U306">
        <v>0.61</v>
      </c>
    </row>
    <row r="307" spans="7:21" x14ac:dyDescent="0.3">
      <c r="G307" s="18">
        <v>258</v>
      </c>
      <c r="H307" s="19">
        <f t="shared" si="47"/>
        <v>32.520000000000003</v>
      </c>
      <c r="I307" s="19">
        <f t="shared" ref="I307" si="59">I262</f>
        <v>7.46</v>
      </c>
      <c r="J307" s="19">
        <f t="shared" si="49"/>
        <v>4.4089999999999998</v>
      </c>
      <c r="N307">
        <v>276</v>
      </c>
      <c r="O307" t="s">
        <v>39</v>
      </c>
      <c r="P307" t="s">
        <v>23</v>
      </c>
      <c r="Q307" t="s">
        <v>42</v>
      </c>
      <c r="R307" s="21">
        <f t="shared" si="53"/>
        <v>17</v>
      </c>
      <c r="S307" s="21">
        <f>R307+1</f>
        <v>18</v>
      </c>
      <c r="T307">
        <v>8.7999999999999995E-2</v>
      </c>
      <c r="U307">
        <v>0.61</v>
      </c>
    </row>
    <row r="308" spans="7:21" x14ac:dyDescent="0.3">
      <c r="G308" s="18">
        <v>259</v>
      </c>
      <c r="H308" s="19">
        <f t="shared" si="47"/>
        <v>32.520000000000003</v>
      </c>
      <c r="I308" s="19">
        <f t="shared" ref="I308" si="60">I263</f>
        <v>14.68</v>
      </c>
      <c r="J308" s="19">
        <f t="shared" si="49"/>
        <v>4.0999999999999996</v>
      </c>
      <c r="N308">
        <v>277</v>
      </c>
      <c r="O308" t="s">
        <v>39</v>
      </c>
      <c r="P308" t="s">
        <v>23</v>
      </c>
      <c r="Q308" t="s">
        <v>42</v>
      </c>
      <c r="R308">
        <f>R300+9</f>
        <v>19</v>
      </c>
      <c r="S308">
        <f>R308+1</f>
        <v>20</v>
      </c>
      <c r="T308">
        <v>8.7999999999999995E-2</v>
      </c>
      <c r="U308">
        <v>0.61</v>
      </c>
    </row>
    <row r="309" spans="7:21" x14ac:dyDescent="0.3">
      <c r="G309" s="18">
        <v>260</v>
      </c>
      <c r="H309" s="19">
        <f t="shared" si="47"/>
        <v>32.032332469775362</v>
      </c>
      <c r="I309" s="19">
        <f t="shared" ref="I309" si="61">I264</f>
        <v>16.500000000000004</v>
      </c>
      <c r="J309" s="19">
        <f t="shared" si="49"/>
        <v>3.9979999999999993</v>
      </c>
      <c r="N309">
        <v>278</v>
      </c>
      <c r="O309" t="s">
        <v>39</v>
      </c>
      <c r="P309" t="s">
        <v>23</v>
      </c>
      <c r="Q309" t="s">
        <v>42</v>
      </c>
      <c r="R309">
        <f t="shared" si="53"/>
        <v>20</v>
      </c>
      <c r="S309">
        <f>R309+1</f>
        <v>21</v>
      </c>
      <c r="T309">
        <v>8.7999999999999995E-2</v>
      </c>
      <c r="U309">
        <v>0.61</v>
      </c>
    </row>
    <row r="310" spans="7:21" x14ac:dyDescent="0.3">
      <c r="G310" s="18">
        <v>261</v>
      </c>
      <c r="H310" s="19">
        <f t="shared" si="47"/>
        <v>30.7</v>
      </c>
      <c r="I310" s="19">
        <f t="shared" ref="I310" si="62">I265</f>
        <v>17.832332469775359</v>
      </c>
      <c r="J310" s="19">
        <f t="shared" si="49"/>
        <v>3.8959999999999999</v>
      </c>
      <c r="N310">
        <v>279</v>
      </c>
      <c r="O310" t="s">
        <v>39</v>
      </c>
      <c r="P310" t="s">
        <v>23</v>
      </c>
      <c r="Q310" t="s">
        <v>42</v>
      </c>
      <c r="R310">
        <f t="shared" si="53"/>
        <v>21</v>
      </c>
      <c r="S310">
        <f t="shared" ref="S310:S314" si="63">R310+1</f>
        <v>22</v>
      </c>
      <c r="T310">
        <v>8.7999999999999995E-2</v>
      </c>
      <c r="U310">
        <v>0.61</v>
      </c>
    </row>
    <row r="311" spans="7:21" x14ac:dyDescent="0.3">
      <c r="H311" s="20"/>
      <c r="I311" s="20"/>
      <c r="J311" s="20"/>
      <c r="N311">
        <v>280</v>
      </c>
      <c r="O311" t="s">
        <v>39</v>
      </c>
      <c r="P311" t="s">
        <v>23</v>
      </c>
      <c r="Q311" t="s">
        <v>42</v>
      </c>
      <c r="R311">
        <f t="shared" si="53"/>
        <v>22</v>
      </c>
      <c r="S311">
        <f t="shared" si="63"/>
        <v>23</v>
      </c>
      <c r="T311">
        <v>8.7999999999999995E-2</v>
      </c>
      <c r="U311">
        <v>0.61</v>
      </c>
    </row>
    <row r="312" spans="7:21" x14ac:dyDescent="0.3">
      <c r="H312" s="20"/>
      <c r="I312" s="20"/>
      <c r="J312" s="20"/>
      <c r="N312">
        <v>281</v>
      </c>
      <c r="O312" t="s">
        <v>39</v>
      </c>
      <c r="P312" t="s">
        <v>23</v>
      </c>
      <c r="Q312" t="s">
        <v>42</v>
      </c>
      <c r="R312">
        <f t="shared" si="53"/>
        <v>23</v>
      </c>
      <c r="S312">
        <f t="shared" si="63"/>
        <v>24</v>
      </c>
      <c r="T312">
        <v>8.7999999999999995E-2</v>
      </c>
      <c r="U312">
        <v>0.61</v>
      </c>
    </row>
    <row r="313" spans="7:21" x14ac:dyDescent="0.3">
      <c r="H313" s="20"/>
      <c r="I313" s="20"/>
      <c r="J313" s="20"/>
      <c r="N313">
        <v>282</v>
      </c>
      <c r="O313" t="s">
        <v>39</v>
      </c>
      <c r="P313" t="s">
        <v>23</v>
      </c>
      <c r="Q313" t="s">
        <v>42</v>
      </c>
      <c r="R313">
        <f t="shared" si="53"/>
        <v>24</v>
      </c>
      <c r="S313">
        <f t="shared" si="63"/>
        <v>25</v>
      </c>
      <c r="T313">
        <v>8.7999999999999995E-2</v>
      </c>
      <c r="U313">
        <v>0.61</v>
      </c>
    </row>
    <row r="314" spans="7:21" x14ac:dyDescent="0.3">
      <c r="H314" s="20"/>
      <c r="I314" s="20"/>
      <c r="J314" s="20"/>
      <c r="N314">
        <v>283</v>
      </c>
      <c r="O314" t="s">
        <v>39</v>
      </c>
      <c r="P314" t="s">
        <v>23</v>
      </c>
      <c r="Q314" t="s">
        <v>42</v>
      </c>
      <c r="R314">
        <f t="shared" si="53"/>
        <v>25</v>
      </c>
      <c r="S314">
        <f t="shared" si="63"/>
        <v>26</v>
      </c>
      <c r="T314">
        <v>8.7999999999999995E-2</v>
      </c>
      <c r="U314">
        <v>0.61</v>
      </c>
    </row>
    <row r="315" spans="7:21" x14ac:dyDescent="0.3">
      <c r="H315" s="20"/>
      <c r="I315" s="20"/>
      <c r="J315" s="20"/>
      <c r="N315">
        <v>284</v>
      </c>
      <c r="O315" t="s">
        <v>39</v>
      </c>
      <c r="P315" t="s">
        <v>23</v>
      </c>
      <c r="Q315" t="s">
        <v>42</v>
      </c>
      <c r="R315">
        <f t="shared" si="53"/>
        <v>26</v>
      </c>
      <c r="S315">
        <f>R315+1</f>
        <v>27</v>
      </c>
      <c r="T315">
        <v>8.7999999999999995E-2</v>
      </c>
      <c r="U315">
        <v>0.61</v>
      </c>
    </row>
    <row r="316" spans="7:21" x14ac:dyDescent="0.3">
      <c r="H316" s="20"/>
      <c r="I316" s="20"/>
      <c r="J316" s="20"/>
      <c r="N316">
        <v>285</v>
      </c>
      <c r="O316" t="s">
        <v>39</v>
      </c>
      <c r="P316" t="s">
        <v>23</v>
      </c>
      <c r="Q316" t="s">
        <v>42</v>
      </c>
      <c r="R316" s="21">
        <f>R308+9</f>
        <v>28</v>
      </c>
      <c r="S316" s="21">
        <f>R316+1</f>
        <v>29</v>
      </c>
      <c r="T316">
        <v>8.7999999999999995E-2</v>
      </c>
      <c r="U316">
        <v>0.61</v>
      </c>
    </row>
    <row r="317" spans="7:21" x14ac:dyDescent="0.3">
      <c r="H317" s="20"/>
      <c r="I317" s="20"/>
      <c r="J317" s="20"/>
      <c r="N317">
        <v>286</v>
      </c>
      <c r="O317" t="s">
        <v>39</v>
      </c>
      <c r="P317" t="s">
        <v>23</v>
      </c>
      <c r="Q317" t="s">
        <v>42</v>
      </c>
      <c r="R317" s="21">
        <f t="shared" si="53"/>
        <v>29</v>
      </c>
      <c r="S317" s="21">
        <f>R317+1</f>
        <v>30</v>
      </c>
      <c r="T317">
        <v>8.7999999999999995E-2</v>
      </c>
      <c r="U317">
        <v>0.61</v>
      </c>
    </row>
    <row r="318" spans="7:21" x14ac:dyDescent="0.3">
      <c r="H318" s="20"/>
      <c r="I318" s="20"/>
      <c r="J318" s="20"/>
      <c r="N318">
        <v>287</v>
      </c>
      <c r="O318" t="s">
        <v>39</v>
      </c>
      <c r="P318" t="s">
        <v>23</v>
      </c>
      <c r="Q318" t="s">
        <v>42</v>
      </c>
      <c r="R318" s="21">
        <f t="shared" si="53"/>
        <v>30</v>
      </c>
      <c r="S318" s="21">
        <f t="shared" ref="S318:S322" si="64">R318+1</f>
        <v>31</v>
      </c>
      <c r="T318">
        <v>8.7999999999999995E-2</v>
      </c>
      <c r="U318">
        <v>0.61</v>
      </c>
    </row>
    <row r="319" spans="7:21" x14ac:dyDescent="0.3">
      <c r="H319" s="20"/>
      <c r="I319" s="20"/>
      <c r="J319" s="20"/>
      <c r="N319">
        <v>288</v>
      </c>
      <c r="O319" t="s">
        <v>39</v>
      </c>
      <c r="P319" t="s">
        <v>23</v>
      </c>
      <c r="Q319" t="s">
        <v>42</v>
      </c>
      <c r="R319" s="21">
        <f t="shared" si="53"/>
        <v>31</v>
      </c>
      <c r="S319" s="21">
        <f t="shared" si="64"/>
        <v>32</v>
      </c>
      <c r="T319">
        <v>8.7999999999999995E-2</v>
      </c>
      <c r="U319">
        <v>0.61</v>
      </c>
    </row>
    <row r="320" spans="7:21" x14ac:dyDescent="0.3">
      <c r="G320" s="18"/>
      <c r="N320">
        <v>289</v>
      </c>
      <c r="O320" t="s">
        <v>39</v>
      </c>
      <c r="P320" t="s">
        <v>23</v>
      </c>
      <c r="Q320" t="s">
        <v>42</v>
      </c>
      <c r="R320" s="21">
        <f t="shared" si="53"/>
        <v>32</v>
      </c>
      <c r="S320" s="21">
        <f t="shared" si="64"/>
        <v>33</v>
      </c>
      <c r="T320">
        <v>8.7999999999999995E-2</v>
      </c>
      <c r="U320">
        <v>0.61</v>
      </c>
    </row>
    <row r="321" spans="7:21" x14ac:dyDescent="0.3">
      <c r="G321" s="18"/>
      <c r="N321">
        <v>290</v>
      </c>
      <c r="O321" t="s">
        <v>39</v>
      </c>
      <c r="P321" t="s">
        <v>23</v>
      </c>
      <c r="Q321" t="s">
        <v>42</v>
      </c>
      <c r="R321" s="21">
        <f t="shared" si="53"/>
        <v>33</v>
      </c>
      <c r="S321" s="21">
        <f t="shared" si="64"/>
        <v>34</v>
      </c>
      <c r="T321">
        <v>8.7999999999999995E-2</v>
      </c>
      <c r="U321">
        <v>0.61</v>
      </c>
    </row>
    <row r="322" spans="7:21" x14ac:dyDescent="0.3">
      <c r="G322" s="18"/>
      <c r="N322">
        <v>291</v>
      </c>
      <c r="O322" t="s">
        <v>39</v>
      </c>
      <c r="P322" t="s">
        <v>23</v>
      </c>
      <c r="Q322" t="s">
        <v>42</v>
      </c>
      <c r="R322" s="21">
        <f t="shared" si="53"/>
        <v>34</v>
      </c>
      <c r="S322" s="21">
        <f t="shared" si="64"/>
        <v>35</v>
      </c>
      <c r="T322">
        <v>8.7999999999999995E-2</v>
      </c>
      <c r="U322">
        <v>0.61</v>
      </c>
    </row>
    <row r="323" spans="7:21" x14ac:dyDescent="0.3">
      <c r="G323" s="18"/>
      <c r="N323">
        <v>292</v>
      </c>
      <c r="O323" t="s">
        <v>39</v>
      </c>
      <c r="P323" t="s">
        <v>23</v>
      </c>
      <c r="Q323" t="s">
        <v>42</v>
      </c>
      <c r="R323" s="21">
        <f t="shared" si="53"/>
        <v>35</v>
      </c>
      <c r="S323" s="21">
        <f>R323+1</f>
        <v>36</v>
      </c>
      <c r="T323">
        <v>8.7999999999999995E-2</v>
      </c>
      <c r="U323">
        <v>0.61</v>
      </c>
    </row>
    <row r="324" spans="7:21" x14ac:dyDescent="0.3">
      <c r="G324" s="18"/>
      <c r="N324">
        <v>293</v>
      </c>
      <c r="O324" t="s">
        <v>39</v>
      </c>
      <c r="P324" t="s">
        <v>23</v>
      </c>
      <c r="Q324" t="s">
        <v>42</v>
      </c>
      <c r="R324">
        <f>R316+9</f>
        <v>37</v>
      </c>
      <c r="S324">
        <f>R324+1</f>
        <v>38</v>
      </c>
      <c r="T324">
        <v>8.7999999999999995E-2</v>
      </c>
      <c r="U324">
        <v>0.61</v>
      </c>
    </row>
    <row r="325" spans="7:21" x14ac:dyDescent="0.3">
      <c r="G325" s="18"/>
      <c r="N325">
        <v>294</v>
      </c>
      <c r="O325" t="s">
        <v>39</v>
      </c>
      <c r="P325" t="s">
        <v>23</v>
      </c>
      <c r="Q325" t="s">
        <v>42</v>
      </c>
      <c r="R325">
        <f t="shared" si="53"/>
        <v>38</v>
      </c>
      <c r="S325">
        <f>R325+1</f>
        <v>39</v>
      </c>
      <c r="T325">
        <v>8.7999999999999995E-2</v>
      </c>
      <c r="U325">
        <v>0.61</v>
      </c>
    </row>
    <row r="326" spans="7:21" x14ac:dyDescent="0.3">
      <c r="G326" s="18"/>
      <c r="N326">
        <v>295</v>
      </c>
      <c r="O326" t="s">
        <v>39</v>
      </c>
      <c r="P326" t="s">
        <v>23</v>
      </c>
      <c r="Q326" t="s">
        <v>42</v>
      </c>
      <c r="R326">
        <f t="shared" si="53"/>
        <v>39</v>
      </c>
      <c r="S326">
        <f t="shared" ref="S326:S330" si="65">R326+1</f>
        <v>40</v>
      </c>
      <c r="T326">
        <v>8.7999999999999995E-2</v>
      </c>
      <c r="U326">
        <v>0.61</v>
      </c>
    </row>
    <row r="327" spans="7:21" x14ac:dyDescent="0.3">
      <c r="G327" s="18"/>
      <c r="N327">
        <v>296</v>
      </c>
      <c r="O327" t="s">
        <v>39</v>
      </c>
      <c r="P327" t="s">
        <v>23</v>
      </c>
      <c r="Q327" t="s">
        <v>42</v>
      </c>
      <c r="R327">
        <f t="shared" si="53"/>
        <v>40</v>
      </c>
      <c r="S327">
        <f t="shared" si="65"/>
        <v>41</v>
      </c>
      <c r="T327">
        <v>8.7999999999999995E-2</v>
      </c>
      <c r="U327">
        <v>0.61</v>
      </c>
    </row>
    <row r="328" spans="7:21" x14ac:dyDescent="0.3">
      <c r="G328" s="18"/>
      <c r="N328">
        <v>297</v>
      </c>
      <c r="O328" t="s">
        <v>39</v>
      </c>
      <c r="P328" t="s">
        <v>23</v>
      </c>
      <c r="Q328" t="s">
        <v>42</v>
      </c>
      <c r="R328">
        <f t="shared" si="53"/>
        <v>41</v>
      </c>
      <c r="S328">
        <f t="shared" si="65"/>
        <v>42</v>
      </c>
      <c r="T328">
        <v>8.7999999999999995E-2</v>
      </c>
      <c r="U328">
        <v>0.61</v>
      </c>
    </row>
    <row r="329" spans="7:21" x14ac:dyDescent="0.3">
      <c r="N329">
        <v>298</v>
      </c>
      <c r="O329" t="s">
        <v>39</v>
      </c>
      <c r="P329" t="s">
        <v>23</v>
      </c>
      <c r="Q329" t="s">
        <v>42</v>
      </c>
      <c r="R329">
        <f t="shared" si="53"/>
        <v>42</v>
      </c>
      <c r="S329">
        <f t="shared" si="65"/>
        <v>43</v>
      </c>
      <c r="T329">
        <v>8.7999999999999995E-2</v>
      </c>
      <c r="U329">
        <v>0.61</v>
      </c>
    </row>
    <row r="330" spans="7:21" x14ac:dyDescent="0.3">
      <c r="N330">
        <v>299</v>
      </c>
      <c r="O330" t="s">
        <v>39</v>
      </c>
      <c r="P330" t="s">
        <v>23</v>
      </c>
      <c r="Q330" t="s">
        <v>42</v>
      </c>
      <c r="R330">
        <f t="shared" si="53"/>
        <v>43</v>
      </c>
      <c r="S330">
        <f t="shared" si="65"/>
        <v>44</v>
      </c>
      <c r="T330">
        <v>8.7999999999999995E-2</v>
      </c>
      <c r="U330">
        <v>0.61</v>
      </c>
    </row>
    <row r="331" spans="7:21" x14ac:dyDescent="0.3">
      <c r="N331">
        <v>300</v>
      </c>
      <c r="O331" t="s">
        <v>39</v>
      </c>
      <c r="P331" t="s">
        <v>23</v>
      </c>
      <c r="Q331" t="s">
        <v>42</v>
      </c>
      <c r="R331">
        <f t="shared" si="53"/>
        <v>44</v>
      </c>
      <c r="S331">
        <f>R331+1</f>
        <v>45</v>
      </c>
      <c r="T331">
        <v>8.7999999999999995E-2</v>
      </c>
      <c r="U331">
        <v>0.61</v>
      </c>
    </row>
    <row r="332" spans="7:21" x14ac:dyDescent="0.3">
      <c r="N332">
        <v>301</v>
      </c>
      <c r="O332" t="s">
        <v>39</v>
      </c>
      <c r="P332" t="s">
        <v>23</v>
      </c>
      <c r="Q332" t="s">
        <v>42</v>
      </c>
      <c r="R332" s="21">
        <v>55</v>
      </c>
      <c r="S332" s="21">
        <f>R332+1</f>
        <v>56</v>
      </c>
      <c r="T332">
        <v>8.7999999999999995E-2</v>
      </c>
      <c r="U332">
        <v>0.61</v>
      </c>
    </row>
    <row r="333" spans="7:21" x14ac:dyDescent="0.3">
      <c r="N333">
        <v>302</v>
      </c>
      <c r="O333" t="s">
        <v>39</v>
      </c>
      <c r="P333" t="s">
        <v>23</v>
      </c>
      <c r="Q333" t="s">
        <v>42</v>
      </c>
      <c r="R333" s="21">
        <f t="shared" si="53"/>
        <v>56</v>
      </c>
      <c r="S333" s="21">
        <f>R333+1</f>
        <v>57</v>
      </c>
      <c r="T333">
        <v>8.7999999999999995E-2</v>
      </c>
      <c r="U333">
        <v>0.61</v>
      </c>
    </row>
    <row r="334" spans="7:21" x14ac:dyDescent="0.3">
      <c r="N334">
        <v>303</v>
      </c>
      <c r="O334" t="s">
        <v>39</v>
      </c>
      <c r="P334" t="s">
        <v>23</v>
      </c>
      <c r="Q334" t="s">
        <v>42</v>
      </c>
      <c r="R334" s="21">
        <f t="shared" si="53"/>
        <v>57</v>
      </c>
      <c r="S334" s="21">
        <f t="shared" ref="S334:S338" si="66">R334+1</f>
        <v>58</v>
      </c>
      <c r="T334">
        <v>8.7999999999999995E-2</v>
      </c>
      <c r="U334">
        <v>0.61</v>
      </c>
    </row>
    <row r="335" spans="7:21" x14ac:dyDescent="0.3">
      <c r="N335">
        <v>304</v>
      </c>
      <c r="O335" t="s">
        <v>39</v>
      </c>
      <c r="P335" t="s">
        <v>23</v>
      </c>
      <c r="Q335" t="s">
        <v>42</v>
      </c>
      <c r="R335" s="21">
        <f t="shared" si="53"/>
        <v>58</v>
      </c>
      <c r="S335" s="21">
        <f t="shared" si="66"/>
        <v>59</v>
      </c>
      <c r="T335">
        <v>8.7999999999999995E-2</v>
      </c>
      <c r="U335">
        <v>0.61</v>
      </c>
    </row>
    <row r="336" spans="7:21" x14ac:dyDescent="0.3">
      <c r="N336">
        <v>305</v>
      </c>
      <c r="O336" t="s">
        <v>39</v>
      </c>
      <c r="P336" t="s">
        <v>23</v>
      </c>
      <c r="Q336" t="s">
        <v>42</v>
      </c>
      <c r="R336" s="21">
        <f t="shared" si="53"/>
        <v>59</v>
      </c>
      <c r="S336" s="21">
        <f t="shared" si="66"/>
        <v>60</v>
      </c>
      <c r="T336">
        <v>8.7999999999999995E-2</v>
      </c>
      <c r="U336">
        <v>0.61</v>
      </c>
    </row>
    <row r="337" spans="14:21" x14ac:dyDescent="0.3">
      <c r="N337">
        <v>306</v>
      </c>
      <c r="O337" t="s">
        <v>39</v>
      </c>
      <c r="P337" t="s">
        <v>23</v>
      </c>
      <c r="Q337" t="s">
        <v>42</v>
      </c>
      <c r="R337" s="21">
        <f t="shared" si="53"/>
        <v>60</v>
      </c>
      <c r="S337" s="21">
        <f t="shared" si="66"/>
        <v>61</v>
      </c>
      <c r="T337">
        <v>8.7999999999999995E-2</v>
      </c>
      <c r="U337">
        <v>0.61</v>
      </c>
    </row>
    <row r="338" spans="14:21" x14ac:dyDescent="0.3">
      <c r="N338">
        <v>307</v>
      </c>
      <c r="O338" t="s">
        <v>39</v>
      </c>
      <c r="P338" t="s">
        <v>23</v>
      </c>
      <c r="Q338" t="s">
        <v>42</v>
      </c>
      <c r="R338" s="21">
        <f t="shared" si="53"/>
        <v>61</v>
      </c>
      <c r="S338" s="21">
        <f t="shared" si="66"/>
        <v>62</v>
      </c>
      <c r="T338">
        <v>8.7999999999999995E-2</v>
      </c>
      <c r="U338">
        <v>0.61</v>
      </c>
    </row>
    <row r="339" spans="14:21" x14ac:dyDescent="0.3">
      <c r="N339">
        <v>308</v>
      </c>
      <c r="O339" t="s">
        <v>39</v>
      </c>
      <c r="P339" t="s">
        <v>23</v>
      </c>
      <c r="Q339" t="s">
        <v>42</v>
      </c>
      <c r="R339" s="21">
        <f t="shared" si="53"/>
        <v>62</v>
      </c>
      <c r="S339" s="21">
        <f>R339+1</f>
        <v>63</v>
      </c>
      <c r="T339">
        <v>8.7999999999999995E-2</v>
      </c>
      <c r="U339">
        <v>0.61</v>
      </c>
    </row>
    <row r="340" spans="14:21" x14ac:dyDescent="0.3">
      <c r="N340">
        <v>309</v>
      </c>
      <c r="O340" t="s">
        <v>39</v>
      </c>
      <c r="P340" t="s">
        <v>23</v>
      </c>
      <c r="Q340" t="s">
        <v>42</v>
      </c>
      <c r="R340">
        <f>R332+9</f>
        <v>64</v>
      </c>
      <c r="S340">
        <f>R340+1</f>
        <v>65</v>
      </c>
      <c r="T340">
        <v>8.7999999999999995E-2</v>
      </c>
      <c r="U340">
        <v>0.61</v>
      </c>
    </row>
    <row r="341" spans="14:21" x14ac:dyDescent="0.3">
      <c r="N341">
        <v>310</v>
      </c>
      <c r="O341" t="s">
        <v>39</v>
      </c>
      <c r="P341" t="s">
        <v>23</v>
      </c>
      <c r="Q341" t="s">
        <v>42</v>
      </c>
      <c r="R341">
        <f t="shared" si="53"/>
        <v>65</v>
      </c>
      <c r="S341">
        <f>R341+1</f>
        <v>66</v>
      </c>
      <c r="T341">
        <v>8.7999999999999995E-2</v>
      </c>
      <c r="U341">
        <v>0.61</v>
      </c>
    </row>
    <row r="342" spans="14:21" x14ac:dyDescent="0.3">
      <c r="N342">
        <v>311</v>
      </c>
      <c r="O342" t="s">
        <v>39</v>
      </c>
      <c r="P342" t="s">
        <v>23</v>
      </c>
      <c r="Q342" t="s">
        <v>42</v>
      </c>
      <c r="R342">
        <f t="shared" si="53"/>
        <v>66</v>
      </c>
      <c r="S342">
        <f t="shared" ref="S342:S346" si="67">R342+1</f>
        <v>67</v>
      </c>
      <c r="T342">
        <v>8.7999999999999995E-2</v>
      </c>
      <c r="U342">
        <v>0.61</v>
      </c>
    </row>
    <row r="343" spans="14:21" x14ac:dyDescent="0.3">
      <c r="N343">
        <v>312</v>
      </c>
      <c r="O343" t="s">
        <v>39</v>
      </c>
      <c r="P343" t="s">
        <v>23</v>
      </c>
      <c r="Q343" t="s">
        <v>42</v>
      </c>
      <c r="R343">
        <f t="shared" si="53"/>
        <v>67</v>
      </c>
      <c r="S343">
        <f t="shared" si="67"/>
        <v>68</v>
      </c>
      <c r="T343">
        <v>8.7999999999999995E-2</v>
      </c>
      <c r="U343">
        <v>0.61</v>
      </c>
    </row>
    <row r="344" spans="14:21" x14ac:dyDescent="0.3">
      <c r="N344">
        <v>313</v>
      </c>
      <c r="O344" t="s">
        <v>39</v>
      </c>
      <c r="P344" t="s">
        <v>23</v>
      </c>
      <c r="Q344" t="s">
        <v>42</v>
      </c>
      <c r="R344">
        <f t="shared" si="53"/>
        <v>68</v>
      </c>
      <c r="S344">
        <f t="shared" si="67"/>
        <v>69</v>
      </c>
      <c r="T344">
        <v>8.7999999999999995E-2</v>
      </c>
      <c r="U344">
        <v>0.61</v>
      </c>
    </row>
    <row r="345" spans="14:21" x14ac:dyDescent="0.3">
      <c r="N345">
        <v>314</v>
      </c>
      <c r="O345" t="s">
        <v>39</v>
      </c>
      <c r="P345" t="s">
        <v>23</v>
      </c>
      <c r="Q345" t="s">
        <v>42</v>
      </c>
      <c r="R345">
        <f t="shared" si="53"/>
        <v>69</v>
      </c>
      <c r="S345">
        <f t="shared" si="67"/>
        <v>70</v>
      </c>
      <c r="T345">
        <v>8.7999999999999995E-2</v>
      </c>
      <c r="U345">
        <v>0.61</v>
      </c>
    </row>
    <row r="346" spans="14:21" x14ac:dyDescent="0.3">
      <c r="N346">
        <v>315</v>
      </c>
      <c r="O346" t="s">
        <v>39</v>
      </c>
      <c r="P346" t="s">
        <v>23</v>
      </c>
      <c r="Q346" t="s">
        <v>42</v>
      </c>
      <c r="R346">
        <f t="shared" si="53"/>
        <v>70</v>
      </c>
      <c r="S346">
        <f t="shared" si="67"/>
        <v>71</v>
      </c>
      <c r="T346">
        <v>8.7999999999999995E-2</v>
      </c>
      <c r="U346">
        <v>0.61</v>
      </c>
    </row>
    <row r="347" spans="14:21" x14ac:dyDescent="0.3">
      <c r="N347">
        <v>316</v>
      </c>
      <c r="O347" t="s">
        <v>39</v>
      </c>
      <c r="P347" t="s">
        <v>23</v>
      </c>
      <c r="Q347" t="s">
        <v>42</v>
      </c>
      <c r="R347">
        <f t="shared" si="53"/>
        <v>71</v>
      </c>
      <c r="S347">
        <f>R347+1</f>
        <v>72</v>
      </c>
      <c r="T347">
        <v>8.7999999999999995E-2</v>
      </c>
      <c r="U347">
        <v>0.61</v>
      </c>
    </row>
    <row r="348" spans="14:21" x14ac:dyDescent="0.3">
      <c r="N348">
        <v>317</v>
      </c>
      <c r="O348" t="s">
        <v>39</v>
      </c>
      <c r="P348" t="s">
        <v>23</v>
      </c>
      <c r="Q348" t="s">
        <v>42</v>
      </c>
      <c r="R348" s="21">
        <f>R340+9</f>
        <v>73</v>
      </c>
      <c r="S348" s="21">
        <f>R348+1</f>
        <v>74</v>
      </c>
      <c r="T348">
        <v>8.7999999999999995E-2</v>
      </c>
      <c r="U348">
        <v>0.61</v>
      </c>
    </row>
    <row r="349" spans="14:21" x14ac:dyDescent="0.3">
      <c r="N349">
        <v>318</v>
      </c>
      <c r="O349" t="s">
        <v>39</v>
      </c>
      <c r="P349" t="s">
        <v>23</v>
      </c>
      <c r="Q349" t="s">
        <v>42</v>
      </c>
      <c r="R349" s="21">
        <f t="shared" si="53"/>
        <v>74</v>
      </c>
      <c r="S349" s="21">
        <f>R349+1</f>
        <v>75</v>
      </c>
      <c r="T349">
        <v>8.7999999999999995E-2</v>
      </c>
      <c r="U349">
        <v>0.61</v>
      </c>
    </row>
    <row r="350" spans="14:21" x14ac:dyDescent="0.3">
      <c r="N350">
        <v>319</v>
      </c>
      <c r="O350" t="s">
        <v>39</v>
      </c>
      <c r="P350" t="s">
        <v>23</v>
      </c>
      <c r="Q350" t="s">
        <v>42</v>
      </c>
      <c r="R350" s="21">
        <f t="shared" si="53"/>
        <v>75</v>
      </c>
      <c r="S350" s="21">
        <f t="shared" ref="S350:S354" si="68">R350+1</f>
        <v>76</v>
      </c>
      <c r="T350">
        <v>8.7999999999999995E-2</v>
      </c>
      <c r="U350">
        <v>0.61</v>
      </c>
    </row>
    <row r="351" spans="14:21" x14ac:dyDescent="0.3">
      <c r="N351">
        <v>320</v>
      </c>
      <c r="O351" t="s">
        <v>39</v>
      </c>
      <c r="P351" t="s">
        <v>23</v>
      </c>
      <c r="Q351" t="s">
        <v>42</v>
      </c>
      <c r="R351" s="21">
        <f t="shared" si="53"/>
        <v>76</v>
      </c>
      <c r="S351" s="21">
        <f t="shared" si="68"/>
        <v>77</v>
      </c>
      <c r="T351">
        <v>8.7999999999999995E-2</v>
      </c>
      <c r="U351">
        <v>0.61</v>
      </c>
    </row>
    <row r="352" spans="14:21" x14ac:dyDescent="0.3">
      <c r="N352">
        <v>321</v>
      </c>
      <c r="O352" t="s">
        <v>39</v>
      </c>
      <c r="P352" t="s">
        <v>23</v>
      </c>
      <c r="Q352" t="s">
        <v>42</v>
      </c>
      <c r="R352" s="21">
        <f t="shared" si="53"/>
        <v>77</v>
      </c>
      <c r="S352" s="21">
        <f t="shared" si="68"/>
        <v>78</v>
      </c>
      <c r="T352">
        <v>8.7999999999999995E-2</v>
      </c>
      <c r="U352">
        <v>0.61</v>
      </c>
    </row>
    <row r="353" spans="14:21" x14ac:dyDescent="0.3">
      <c r="N353">
        <v>322</v>
      </c>
      <c r="O353" t="s">
        <v>39</v>
      </c>
      <c r="P353" t="s">
        <v>23</v>
      </c>
      <c r="Q353" t="s">
        <v>42</v>
      </c>
      <c r="R353" s="21">
        <f t="shared" si="53"/>
        <v>78</v>
      </c>
      <c r="S353" s="21">
        <f t="shared" si="68"/>
        <v>79</v>
      </c>
      <c r="T353">
        <v>8.7999999999999995E-2</v>
      </c>
      <c r="U353">
        <v>0.61</v>
      </c>
    </row>
    <row r="354" spans="14:21" x14ac:dyDescent="0.3">
      <c r="N354">
        <v>323</v>
      </c>
      <c r="O354" t="s">
        <v>39</v>
      </c>
      <c r="P354" t="s">
        <v>23</v>
      </c>
      <c r="Q354" t="s">
        <v>42</v>
      </c>
      <c r="R354" s="21">
        <f t="shared" si="53"/>
        <v>79</v>
      </c>
      <c r="S354" s="21">
        <f t="shared" si="68"/>
        <v>80</v>
      </c>
      <c r="T354">
        <v>8.7999999999999995E-2</v>
      </c>
      <c r="U354">
        <v>0.61</v>
      </c>
    </row>
    <row r="355" spans="14:21" x14ac:dyDescent="0.3">
      <c r="N355">
        <v>324</v>
      </c>
      <c r="O355" t="s">
        <v>39</v>
      </c>
      <c r="P355" t="s">
        <v>23</v>
      </c>
      <c r="Q355" t="s">
        <v>42</v>
      </c>
      <c r="R355" s="21">
        <f t="shared" ref="R355:R363" si="69">S354</f>
        <v>80</v>
      </c>
      <c r="S355" s="21">
        <f>R355+1</f>
        <v>81</v>
      </c>
      <c r="T355">
        <v>8.7999999999999995E-2</v>
      </c>
      <c r="U355">
        <v>0.61</v>
      </c>
    </row>
    <row r="356" spans="14:21" x14ac:dyDescent="0.3">
      <c r="N356">
        <v>325</v>
      </c>
      <c r="O356" t="s">
        <v>39</v>
      </c>
      <c r="P356" t="s">
        <v>23</v>
      </c>
      <c r="Q356" t="s">
        <v>42</v>
      </c>
      <c r="R356">
        <f>R348+9</f>
        <v>82</v>
      </c>
      <c r="S356">
        <f>R356+1</f>
        <v>83</v>
      </c>
      <c r="T356">
        <v>8.7999999999999995E-2</v>
      </c>
      <c r="U356">
        <v>0.61</v>
      </c>
    </row>
    <row r="357" spans="14:21" x14ac:dyDescent="0.3">
      <c r="N357">
        <v>326</v>
      </c>
      <c r="O357" t="s">
        <v>39</v>
      </c>
      <c r="P357" t="s">
        <v>23</v>
      </c>
      <c r="Q357" t="s">
        <v>42</v>
      </c>
      <c r="R357">
        <f t="shared" si="69"/>
        <v>83</v>
      </c>
      <c r="S357">
        <f>R357+1</f>
        <v>84</v>
      </c>
      <c r="T357">
        <v>8.7999999999999995E-2</v>
      </c>
      <c r="U357">
        <v>0.61</v>
      </c>
    </row>
    <row r="358" spans="14:21" x14ac:dyDescent="0.3">
      <c r="N358">
        <v>327</v>
      </c>
      <c r="O358" t="s">
        <v>39</v>
      </c>
      <c r="P358" t="s">
        <v>23</v>
      </c>
      <c r="Q358" t="s">
        <v>42</v>
      </c>
      <c r="R358">
        <f t="shared" si="69"/>
        <v>84</v>
      </c>
      <c r="S358">
        <f t="shared" ref="S358:S362" si="70">R358+1</f>
        <v>85</v>
      </c>
      <c r="T358">
        <v>8.7999999999999995E-2</v>
      </c>
      <c r="U358">
        <v>0.61</v>
      </c>
    </row>
    <row r="359" spans="14:21" x14ac:dyDescent="0.3">
      <c r="N359">
        <v>328</v>
      </c>
      <c r="O359" t="s">
        <v>39</v>
      </c>
      <c r="P359" t="s">
        <v>23</v>
      </c>
      <c r="Q359" t="s">
        <v>42</v>
      </c>
      <c r="R359">
        <f t="shared" si="69"/>
        <v>85</v>
      </c>
      <c r="S359">
        <f t="shared" si="70"/>
        <v>86</v>
      </c>
      <c r="T359">
        <v>8.7999999999999995E-2</v>
      </c>
      <c r="U359">
        <v>0.61</v>
      </c>
    </row>
    <row r="360" spans="14:21" x14ac:dyDescent="0.3">
      <c r="N360">
        <v>329</v>
      </c>
      <c r="O360" t="s">
        <v>39</v>
      </c>
      <c r="P360" t="s">
        <v>23</v>
      </c>
      <c r="Q360" t="s">
        <v>42</v>
      </c>
      <c r="R360">
        <f t="shared" si="69"/>
        <v>86</v>
      </c>
      <c r="S360">
        <f t="shared" si="70"/>
        <v>87</v>
      </c>
      <c r="T360">
        <v>8.7999999999999995E-2</v>
      </c>
      <c r="U360">
        <v>0.61</v>
      </c>
    </row>
    <row r="361" spans="14:21" x14ac:dyDescent="0.3">
      <c r="N361">
        <v>330</v>
      </c>
      <c r="O361" t="s">
        <v>39</v>
      </c>
      <c r="P361" t="s">
        <v>23</v>
      </c>
      <c r="Q361" t="s">
        <v>42</v>
      </c>
      <c r="R361">
        <f t="shared" si="69"/>
        <v>87</v>
      </c>
      <c r="S361">
        <f t="shared" si="70"/>
        <v>88</v>
      </c>
      <c r="T361">
        <v>8.7999999999999995E-2</v>
      </c>
      <c r="U361">
        <v>0.61</v>
      </c>
    </row>
    <row r="362" spans="14:21" x14ac:dyDescent="0.3">
      <c r="N362">
        <v>331</v>
      </c>
      <c r="O362" t="s">
        <v>39</v>
      </c>
      <c r="P362" t="s">
        <v>23</v>
      </c>
      <c r="Q362" t="s">
        <v>42</v>
      </c>
      <c r="R362">
        <f t="shared" si="69"/>
        <v>88</v>
      </c>
      <c r="S362">
        <f t="shared" si="70"/>
        <v>89</v>
      </c>
      <c r="T362">
        <v>8.7999999999999995E-2</v>
      </c>
      <c r="U362">
        <v>0.61</v>
      </c>
    </row>
    <row r="363" spans="14:21" x14ac:dyDescent="0.3">
      <c r="N363">
        <v>332</v>
      </c>
      <c r="O363" t="s">
        <v>39</v>
      </c>
      <c r="P363" t="s">
        <v>23</v>
      </c>
      <c r="Q363" t="s">
        <v>42</v>
      </c>
      <c r="R363">
        <f t="shared" si="69"/>
        <v>89</v>
      </c>
      <c r="S363">
        <f>R363+1</f>
        <v>90</v>
      </c>
      <c r="T363">
        <v>8.7999999999999995E-2</v>
      </c>
      <c r="U363">
        <v>0.61</v>
      </c>
    </row>
    <row r="364" spans="14:21" x14ac:dyDescent="0.3">
      <c r="N364">
        <v>333</v>
      </c>
      <c r="O364" t="s">
        <v>39</v>
      </c>
      <c r="P364" t="s">
        <v>23</v>
      </c>
      <c r="Q364" t="s">
        <v>42</v>
      </c>
      <c r="R364" s="21">
        <f>R356+9</f>
        <v>91</v>
      </c>
      <c r="S364" s="21">
        <f>R364+1</f>
        <v>92</v>
      </c>
      <c r="T364">
        <v>8.7999999999999995E-2</v>
      </c>
      <c r="U364">
        <v>0.61</v>
      </c>
    </row>
    <row r="365" spans="14:21" x14ac:dyDescent="0.3">
      <c r="N365">
        <v>334</v>
      </c>
      <c r="O365" t="s">
        <v>39</v>
      </c>
      <c r="P365" t="s">
        <v>23</v>
      </c>
      <c r="Q365" t="s">
        <v>42</v>
      </c>
      <c r="R365" s="21">
        <f t="shared" ref="R365:R387" si="71">S364</f>
        <v>92</v>
      </c>
      <c r="S365" s="21">
        <f>R365+1</f>
        <v>93</v>
      </c>
      <c r="T365">
        <v>8.7999999999999995E-2</v>
      </c>
      <c r="U365">
        <v>0.61</v>
      </c>
    </row>
    <row r="366" spans="14:21" x14ac:dyDescent="0.3">
      <c r="N366">
        <v>335</v>
      </c>
      <c r="O366" t="s">
        <v>39</v>
      </c>
      <c r="P366" t="s">
        <v>23</v>
      </c>
      <c r="Q366" t="s">
        <v>42</v>
      </c>
      <c r="R366" s="21">
        <f t="shared" si="71"/>
        <v>93</v>
      </c>
      <c r="S366" s="21">
        <f t="shared" ref="S366:S370" si="72">R366+1</f>
        <v>94</v>
      </c>
      <c r="T366">
        <v>8.7999999999999995E-2</v>
      </c>
      <c r="U366">
        <v>0.61</v>
      </c>
    </row>
    <row r="367" spans="14:21" x14ac:dyDescent="0.3">
      <c r="N367">
        <v>336</v>
      </c>
      <c r="O367" t="s">
        <v>39</v>
      </c>
      <c r="P367" t="s">
        <v>23</v>
      </c>
      <c r="Q367" t="s">
        <v>42</v>
      </c>
      <c r="R367" s="21">
        <f t="shared" si="71"/>
        <v>94</v>
      </c>
      <c r="S367" s="21">
        <f t="shared" si="72"/>
        <v>95</v>
      </c>
      <c r="T367">
        <v>8.7999999999999995E-2</v>
      </c>
      <c r="U367">
        <v>0.61</v>
      </c>
    </row>
    <row r="368" spans="14:21" x14ac:dyDescent="0.3">
      <c r="N368">
        <v>337</v>
      </c>
      <c r="O368" t="s">
        <v>39</v>
      </c>
      <c r="P368" t="s">
        <v>23</v>
      </c>
      <c r="Q368" t="s">
        <v>42</v>
      </c>
      <c r="R368" s="21">
        <f t="shared" si="71"/>
        <v>95</v>
      </c>
      <c r="S368" s="21">
        <f t="shared" si="72"/>
        <v>96</v>
      </c>
      <c r="T368">
        <v>8.7999999999999995E-2</v>
      </c>
      <c r="U368">
        <v>0.61</v>
      </c>
    </row>
    <row r="369" spans="14:21" x14ac:dyDescent="0.3">
      <c r="N369">
        <v>338</v>
      </c>
      <c r="O369" t="s">
        <v>39</v>
      </c>
      <c r="P369" t="s">
        <v>23</v>
      </c>
      <c r="Q369" t="s">
        <v>42</v>
      </c>
      <c r="R369" s="21">
        <f t="shared" si="71"/>
        <v>96</v>
      </c>
      <c r="S369" s="21">
        <f t="shared" si="72"/>
        <v>97</v>
      </c>
      <c r="T369">
        <v>8.7999999999999995E-2</v>
      </c>
      <c r="U369">
        <v>0.61</v>
      </c>
    </row>
    <row r="370" spans="14:21" x14ac:dyDescent="0.3">
      <c r="N370">
        <v>339</v>
      </c>
      <c r="O370" t="s">
        <v>39</v>
      </c>
      <c r="P370" t="s">
        <v>23</v>
      </c>
      <c r="Q370" t="s">
        <v>42</v>
      </c>
      <c r="R370" s="21">
        <f t="shared" si="71"/>
        <v>97</v>
      </c>
      <c r="S370" s="21">
        <f t="shared" si="72"/>
        <v>98</v>
      </c>
      <c r="T370">
        <v>8.7999999999999995E-2</v>
      </c>
      <c r="U370">
        <v>0.61</v>
      </c>
    </row>
    <row r="371" spans="14:21" x14ac:dyDescent="0.3">
      <c r="N371">
        <v>340</v>
      </c>
      <c r="O371" t="s">
        <v>39</v>
      </c>
      <c r="P371" t="s">
        <v>23</v>
      </c>
      <c r="Q371" t="s">
        <v>42</v>
      </c>
      <c r="R371" s="21">
        <f t="shared" si="71"/>
        <v>98</v>
      </c>
      <c r="S371" s="21">
        <f>R371+1</f>
        <v>99</v>
      </c>
      <c r="T371">
        <v>8.7999999999999995E-2</v>
      </c>
      <c r="U371">
        <v>0.61</v>
      </c>
    </row>
    <row r="372" spans="14:21" x14ac:dyDescent="0.3">
      <c r="N372">
        <v>341</v>
      </c>
      <c r="O372" t="s">
        <v>39</v>
      </c>
      <c r="P372" t="s">
        <v>23</v>
      </c>
      <c r="Q372" t="s">
        <v>42</v>
      </c>
      <c r="R372">
        <f>R364+9</f>
        <v>100</v>
      </c>
      <c r="S372">
        <f>R372+1</f>
        <v>101</v>
      </c>
      <c r="T372">
        <v>8.7999999999999995E-2</v>
      </c>
      <c r="U372">
        <v>0.61</v>
      </c>
    </row>
    <row r="373" spans="14:21" x14ac:dyDescent="0.3">
      <c r="N373">
        <v>342</v>
      </c>
      <c r="O373" t="s">
        <v>39</v>
      </c>
      <c r="P373" t="s">
        <v>23</v>
      </c>
      <c r="Q373" t="s">
        <v>42</v>
      </c>
      <c r="R373">
        <f t="shared" ref="R373:R379" si="73">S372</f>
        <v>101</v>
      </c>
      <c r="S373">
        <f>R373+1</f>
        <v>102</v>
      </c>
      <c r="T373">
        <v>8.7999999999999995E-2</v>
      </c>
      <c r="U373">
        <v>0.61</v>
      </c>
    </row>
    <row r="374" spans="14:21" x14ac:dyDescent="0.3">
      <c r="N374">
        <v>343</v>
      </c>
      <c r="O374" t="s">
        <v>39</v>
      </c>
      <c r="P374" t="s">
        <v>23</v>
      </c>
      <c r="Q374" t="s">
        <v>42</v>
      </c>
      <c r="R374">
        <f t="shared" si="73"/>
        <v>102</v>
      </c>
      <c r="S374">
        <f t="shared" ref="S374:S378" si="74">R374+1</f>
        <v>103</v>
      </c>
      <c r="T374">
        <v>8.7999999999999995E-2</v>
      </c>
      <c r="U374">
        <v>0.61</v>
      </c>
    </row>
    <row r="375" spans="14:21" x14ac:dyDescent="0.3">
      <c r="N375">
        <v>344</v>
      </c>
      <c r="O375" t="s">
        <v>39</v>
      </c>
      <c r="P375" t="s">
        <v>23</v>
      </c>
      <c r="Q375" t="s">
        <v>42</v>
      </c>
      <c r="R375">
        <f t="shared" si="73"/>
        <v>103</v>
      </c>
      <c r="S375">
        <f t="shared" si="74"/>
        <v>104</v>
      </c>
      <c r="T375">
        <v>8.7999999999999995E-2</v>
      </c>
      <c r="U375">
        <v>0.61</v>
      </c>
    </row>
    <row r="376" spans="14:21" x14ac:dyDescent="0.3">
      <c r="N376">
        <v>345</v>
      </c>
      <c r="O376" t="s">
        <v>39</v>
      </c>
      <c r="P376" t="s">
        <v>23</v>
      </c>
      <c r="Q376" t="s">
        <v>42</v>
      </c>
      <c r="R376">
        <f t="shared" si="73"/>
        <v>104</v>
      </c>
      <c r="S376">
        <f t="shared" si="74"/>
        <v>105</v>
      </c>
      <c r="T376">
        <v>8.7999999999999995E-2</v>
      </c>
      <c r="U376">
        <v>0.61</v>
      </c>
    </row>
    <row r="377" spans="14:21" x14ac:dyDescent="0.3">
      <c r="N377">
        <v>346</v>
      </c>
      <c r="O377" t="s">
        <v>39</v>
      </c>
      <c r="P377" t="s">
        <v>23</v>
      </c>
      <c r="Q377" t="s">
        <v>42</v>
      </c>
      <c r="R377">
        <f t="shared" si="73"/>
        <v>105</v>
      </c>
      <c r="S377">
        <f t="shared" si="74"/>
        <v>106</v>
      </c>
      <c r="T377">
        <v>8.7999999999999995E-2</v>
      </c>
      <c r="U377">
        <v>0.61</v>
      </c>
    </row>
    <row r="378" spans="14:21" x14ac:dyDescent="0.3">
      <c r="N378">
        <v>347</v>
      </c>
      <c r="O378" t="s">
        <v>39</v>
      </c>
      <c r="P378" t="s">
        <v>23</v>
      </c>
      <c r="Q378" t="s">
        <v>42</v>
      </c>
      <c r="R378">
        <f t="shared" si="73"/>
        <v>106</v>
      </c>
      <c r="S378">
        <f t="shared" si="74"/>
        <v>107</v>
      </c>
      <c r="T378">
        <v>8.7999999999999995E-2</v>
      </c>
      <c r="U378">
        <v>0.61</v>
      </c>
    </row>
    <row r="379" spans="14:21" x14ac:dyDescent="0.3">
      <c r="N379">
        <v>348</v>
      </c>
      <c r="O379" t="s">
        <v>39</v>
      </c>
      <c r="P379" t="s">
        <v>23</v>
      </c>
      <c r="Q379" t="s">
        <v>42</v>
      </c>
      <c r="R379">
        <f t="shared" si="73"/>
        <v>107</v>
      </c>
      <c r="S379">
        <f>R379+1</f>
        <v>108</v>
      </c>
      <c r="T379">
        <v>8.7999999999999995E-2</v>
      </c>
      <c r="U379">
        <v>0.61</v>
      </c>
    </row>
    <row r="380" spans="14:21" x14ac:dyDescent="0.3">
      <c r="N380">
        <v>349</v>
      </c>
      <c r="O380" t="s">
        <v>39</v>
      </c>
      <c r="P380" t="s">
        <v>23</v>
      </c>
      <c r="Q380" t="s">
        <v>42</v>
      </c>
      <c r="R380" s="21">
        <f>R372+9</f>
        <v>109</v>
      </c>
      <c r="S380" s="21">
        <f>R380+1</f>
        <v>110</v>
      </c>
      <c r="T380">
        <v>8.7999999999999995E-2</v>
      </c>
      <c r="U380">
        <v>0.61</v>
      </c>
    </row>
    <row r="381" spans="14:21" x14ac:dyDescent="0.3">
      <c r="N381">
        <v>350</v>
      </c>
      <c r="O381" t="s">
        <v>39</v>
      </c>
      <c r="P381" t="s">
        <v>23</v>
      </c>
      <c r="Q381" t="s">
        <v>42</v>
      </c>
      <c r="R381" s="21">
        <f t="shared" si="71"/>
        <v>110</v>
      </c>
      <c r="S381" s="21">
        <f>R381+1</f>
        <v>111</v>
      </c>
      <c r="T381">
        <v>8.7999999999999995E-2</v>
      </c>
      <c r="U381">
        <v>0.61</v>
      </c>
    </row>
    <row r="382" spans="14:21" x14ac:dyDescent="0.3">
      <c r="N382">
        <v>351</v>
      </c>
      <c r="O382" t="s">
        <v>39</v>
      </c>
      <c r="P382" t="s">
        <v>23</v>
      </c>
      <c r="Q382" t="s">
        <v>42</v>
      </c>
      <c r="R382" s="21">
        <f t="shared" si="71"/>
        <v>111</v>
      </c>
      <c r="S382" s="21">
        <f t="shared" ref="S382:S386" si="75">R382+1</f>
        <v>112</v>
      </c>
      <c r="T382">
        <v>8.7999999999999995E-2</v>
      </c>
      <c r="U382">
        <v>0.61</v>
      </c>
    </row>
    <row r="383" spans="14:21" x14ac:dyDescent="0.3">
      <c r="N383">
        <v>352</v>
      </c>
      <c r="O383" t="s">
        <v>39</v>
      </c>
      <c r="P383" t="s">
        <v>23</v>
      </c>
      <c r="Q383" t="s">
        <v>42</v>
      </c>
      <c r="R383" s="21">
        <f t="shared" si="71"/>
        <v>112</v>
      </c>
      <c r="S383" s="21">
        <f t="shared" si="75"/>
        <v>113</v>
      </c>
      <c r="T383">
        <v>8.7999999999999995E-2</v>
      </c>
      <c r="U383">
        <v>0.61</v>
      </c>
    </row>
    <row r="384" spans="14:21" x14ac:dyDescent="0.3">
      <c r="N384">
        <v>353</v>
      </c>
      <c r="O384" t="s">
        <v>39</v>
      </c>
      <c r="P384" t="s">
        <v>23</v>
      </c>
      <c r="Q384" t="s">
        <v>42</v>
      </c>
      <c r="R384" s="21">
        <f t="shared" si="71"/>
        <v>113</v>
      </c>
      <c r="S384" s="21">
        <f t="shared" si="75"/>
        <v>114</v>
      </c>
      <c r="T384">
        <v>8.7999999999999995E-2</v>
      </c>
      <c r="U384">
        <v>0.61</v>
      </c>
    </row>
    <row r="385" spans="14:21" x14ac:dyDescent="0.3">
      <c r="N385">
        <v>354</v>
      </c>
      <c r="O385" t="s">
        <v>39</v>
      </c>
      <c r="P385" t="s">
        <v>23</v>
      </c>
      <c r="Q385" t="s">
        <v>42</v>
      </c>
      <c r="R385" s="21">
        <f t="shared" si="71"/>
        <v>114</v>
      </c>
      <c r="S385" s="21">
        <f t="shared" si="75"/>
        <v>115</v>
      </c>
      <c r="T385">
        <v>8.7999999999999995E-2</v>
      </c>
      <c r="U385">
        <v>0.61</v>
      </c>
    </row>
    <row r="386" spans="14:21" x14ac:dyDescent="0.3">
      <c r="N386">
        <v>355</v>
      </c>
      <c r="O386" t="s">
        <v>39</v>
      </c>
      <c r="P386" t="s">
        <v>23</v>
      </c>
      <c r="Q386" t="s">
        <v>42</v>
      </c>
      <c r="R386" s="21">
        <f t="shared" si="71"/>
        <v>115</v>
      </c>
      <c r="S386" s="21">
        <f t="shared" si="75"/>
        <v>116</v>
      </c>
      <c r="T386">
        <v>8.7999999999999995E-2</v>
      </c>
      <c r="U386">
        <v>0.61</v>
      </c>
    </row>
    <row r="387" spans="14:21" x14ac:dyDescent="0.3">
      <c r="N387">
        <v>356</v>
      </c>
      <c r="O387" t="s">
        <v>39</v>
      </c>
      <c r="P387" t="s">
        <v>23</v>
      </c>
      <c r="Q387" t="s">
        <v>42</v>
      </c>
      <c r="R387" s="21">
        <f t="shared" si="71"/>
        <v>116</v>
      </c>
      <c r="S387" s="21">
        <f>R387+1</f>
        <v>117</v>
      </c>
      <c r="T387">
        <v>8.7999999999999995E-2</v>
      </c>
      <c r="U387">
        <v>0.61</v>
      </c>
    </row>
    <row r="388" spans="14:21" x14ac:dyDescent="0.3">
      <c r="N388">
        <v>357</v>
      </c>
      <c r="O388" t="s">
        <v>39</v>
      </c>
      <c r="P388" t="s">
        <v>23</v>
      </c>
      <c r="Q388" t="s">
        <v>42</v>
      </c>
      <c r="R388">
        <v>127</v>
      </c>
      <c r="S388">
        <f>R388+1</f>
        <v>128</v>
      </c>
      <c r="T388">
        <v>8.7999999999999995E-2</v>
      </c>
      <c r="U388">
        <v>0.61</v>
      </c>
    </row>
    <row r="389" spans="14:21" x14ac:dyDescent="0.3">
      <c r="N389">
        <v>358</v>
      </c>
      <c r="O389" t="s">
        <v>39</v>
      </c>
      <c r="P389" t="s">
        <v>23</v>
      </c>
      <c r="Q389" t="s">
        <v>42</v>
      </c>
      <c r="R389">
        <f t="shared" ref="R389:R395" si="76">S388</f>
        <v>128</v>
      </c>
      <c r="S389">
        <f>R389+1</f>
        <v>129</v>
      </c>
      <c r="T389">
        <v>8.7999999999999995E-2</v>
      </c>
      <c r="U389">
        <v>0.61</v>
      </c>
    </row>
    <row r="390" spans="14:21" x14ac:dyDescent="0.3">
      <c r="N390">
        <v>359</v>
      </c>
      <c r="O390" t="s">
        <v>39</v>
      </c>
      <c r="P390" t="s">
        <v>23</v>
      </c>
      <c r="Q390" t="s">
        <v>42</v>
      </c>
      <c r="R390">
        <f t="shared" si="76"/>
        <v>129</v>
      </c>
      <c r="S390">
        <f t="shared" ref="S390:S394" si="77">R390+1</f>
        <v>130</v>
      </c>
      <c r="T390">
        <v>8.7999999999999995E-2</v>
      </c>
      <c r="U390">
        <v>0.61</v>
      </c>
    </row>
    <row r="391" spans="14:21" x14ac:dyDescent="0.3">
      <c r="N391">
        <v>360</v>
      </c>
      <c r="O391" t="s">
        <v>39</v>
      </c>
      <c r="P391" t="s">
        <v>23</v>
      </c>
      <c r="Q391" t="s">
        <v>42</v>
      </c>
      <c r="R391">
        <f t="shared" si="76"/>
        <v>130</v>
      </c>
      <c r="S391">
        <f t="shared" si="77"/>
        <v>131</v>
      </c>
      <c r="T391">
        <v>8.7999999999999995E-2</v>
      </c>
      <c r="U391">
        <v>0.61</v>
      </c>
    </row>
    <row r="392" spans="14:21" x14ac:dyDescent="0.3">
      <c r="N392">
        <v>361</v>
      </c>
      <c r="O392" t="s">
        <v>39</v>
      </c>
      <c r="P392" t="s">
        <v>23</v>
      </c>
      <c r="Q392" t="s">
        <v>42</v>
      </c>
      <c r="R392">
        <f t="shared" si="76"/>
        <v>131</v>
      </c>
      <c r="S392">
        <f t="shared" si="77"/>
        <v>132</v>
      </c>
      <c r="T392">
        <v>8.7999999999999995E-2</v>
      </c>
      <c r="U392">
        <v>0.61</v>
      </c>
    </row>
    <row r="393" spans="14:21" x14ac:dyDescent="0.3">
      <c r="N393">
        <v>362</v>
      </c>
      <c r="O393" t="s">
        <v>39</v>
      </c>
      <c r="P393" t="s">
        <v>23</v>
      </c>
      <c r="Q393" t="s">
        <v>42</v>
      </c>
      <c r="R393">
        <f t="shared" si="76"/>
        <v>132</v>
      </c>
      <c r="S393">
        <f t="shared" si="77"/>
        <v>133</v>
      </c>
      <c r="T393">
        <v>8.7999999999999995E-2</v>
      </c>
      <c r="U393">
        <v>0.61</v>
      </c>
    </row>
    <row r="394" spans="14:21" x14ac:dyDescent="0.3">
      <c r="N394">
        <v>363</v>
      </c>
      <c r="O394" t="s">
        <v>39</v>
      </c>
      <c r="P394" t="s">
        <v>23</v>
      </c>
      <c r="Q394" t="s">
        <v>42</v>
      </c>
      <c r="R394">
        <f t="shared" si="76"/>
        <v>133</v>
      </c>
      <c r="S394">
        <f t="shared" si="77"/>
        <v>134</v>
      </c>
      <c r="T394">
        <v>8.7999999999999995E-2</v>
      </c>
      <c r="U394">
        <v>0.61</v>
      </c>
    </row>
    <row r="395" spans="14:21" x14ac:dyDescent="0.3">
      <c r="N395">
        <v>364</v>
      </c>
      <c r="O395" t="s">
        <v>39</v>
      </c>
      <c r="P395" t="s">
        <v>23</v>
      </c>
      <c r="Q395" t="s">
        <v>42</v>
      </c>
      <c r="R395">
        <f t="shared" si="76"/>
        <v>134</v>
      </c>
      <c r="S395">
        <f>R395+1</f>
        <v>135</v>
      </c>
      <c r="T395">
        <v>8.7999999999999995E-2</v>
      </c>
      <c r="U395">
        <v>0.61</v>
      </c>
    </row>
    <row r="396" spans="14:21" x14ac:dyDescent="0.3">
      <c r="N396">
        <v>365</v>
      </c>
      <c r="O396" t="s">
        <v>39</v>
      </c>
      <c r="P396" t="s">
        <v>23</v>
      </c>
      <c r="Q396" t="s">
        <v>42</v>
      </c>
      <c r="R396" s="21">
        <f>R388+9</f>
        <v>136</v>
      </c>
      <c r="S396" s="21">
        <f>R396+1</f>
        <v>137</v>
      </c>
      <c r="T396">
        <v>8.7999999999999995E-2</v>
      </c>
      <c r="U396">
        <v>0.61</v>
      </c>
    </row>
    <row r="397" spans="14:21" x14ac:dyDescent="0.3">
      <c r="N397">
        <v>366</v>
      </c>
      <c r="O397" t="s">
        <v>39</v>
      </c>
      <c r="P397" t="s">
        <v>23</v>
      </c>
      <c r="Q397" t="s">
        <v>42</v>
      </c>
      <c r="R397" s="21">
        <f t="shared" ref="R397:R403" si="78">S396</f>
        <v>137</v>
      </c>
      <c r="S397" s="21">
        <f>R397+1</f>
        <v>138</v>
      </c>
      <c r="T397">
        <v>8.7999999999999995E-2</v>
      </c>
      <c r="U397">
        <v>0.61</v>
      </c>
    </row>
    <row r="398" spans="14:21" x14ac:dyDescent="0.3">
      <c r="N398">
        <v>367</v>
      </c>
      <c r="O398" t="s">
        <v>39</v>
      </c>
      <c r="P398" t="s">
        <v>23</v>
      </c>
      <c r="Q398" t="s">
        <v>42</v>
      </c>
      <c r="R398" s="21">
        <f t="shared" si="78"/>
        <v>138</v>
      </c>
      <c r="S398" s="21">
        <f t="shared" ref="S398:S402" si="79">R398+1</f>
        <v>139</v>
      </c>
      <c r="T398">
        <v>8.7999999999999995E-2</v>
      </c>
      <c r="U398">
        <v>0.61</v>
      </c>
    </row>
    <row r="399" spans="14:21" x14ac:dyDescent="0.3">
      <c r="N399">
        <v>368</v>
      </c>
      <c r="O399" t="s">
        <v>39</v>
      </c>
      <c r="P399" t="s">
        <v>23</v>
      </c>
      <c r="Q399" t="s">
        <v>42</v>
      </c>
      <c r="R399" s="21">
        <f t="shared" si="78"/>
        <v>139</v>
      </c>
      <c r="S399" s="21">
        <f t="shared" si="79"/>
        <v>140</v>
      </c>
      <c r="T399">
        <v>8.7999999999999995E-2</v>
      </c>
      <c r="U399">
        <v>0.61</v>
      </c>
    </row>
    <row r="400" spans="14:21" x14ac:dyDescent="0.3">
      <c r="N400">
        <v>369</v>
      </c>
      <c r="O400" t="s">
        <v>39</v>
      </c>
      <c r="P400" t="s">
        <v>23</v>
      </c>
      <c r="Q400" t="s">
        <v>42</v>
      </c>
      <c r="R400" s="21">
        <f t="shared" si="78"/>
        <v>140</v>
      </c>
      <c r="S400" s="21">
        <f t="shared" si="79"/>
        <v>141</v>
      </c>
      <c r="T400">
        <v>8.7999999999999995E-2</v>
      </c>
      <c r="U400">
        <v>0.61</v>
      </c>
    </row>
    <row r="401" spans="14:21" x14ac:dyDescent="0.3">
      <c r="N401">
        <v>370</v>
      </c>
      <c r="O401" t="s">
        <v>39</v>
      </c>
      <c r="P401" t="s">
        <v>23</v>
      </c>
      <c r="Q401" t="s">
        <v>42</v>
      </c>
      <c r="R401" s="21">
        <f t="shared" si="78"/>
        <v>141</v>
      </c>
      <c r="S401" s="21">
        <f t="shared" si="79"/>
        <v>142</v>
      </c>
      <c r="T401">
        <v>8.7999999999999995E-2</v>
      </c>
      <c r="U401">
        <v>0.61</v>
      </c>
    </row>
    <row r="402" spans="14:21" x14ac:dyDescent="0.3">
      <c r="N402">
        <v>371</v>
      </c>
      <c r="O402" t="s">
        <v>39</v>
      </c>
      <c r="P402" t="s">
        <v>23</v>
      </c>
      <c r="Q402" t="s">
        <v>42</v>
      </c>
      <c r="R402" s="21">
        <f t="shared" si="78"/>
        <v>142</v>
      </c>
      <c r="S402" s="21">
        <f t="shared" si="79"/>
        <v>143</v>
      </c>
      <c r="T402">
        <v>8.7999999999999995E-2</v>
      </c>
      <c r="U402">
        <v>0.61</v>
      </c>
    </row>
    <row r="403" spans="14:21" x14ac:dyDescent="0.3">
      <c r="N403">
        <v>372</v>
      </c>
      <c r="O403" t="s">
        <v>39</v>
      </c>
      <c r="P403" t="s">
        <v>23</v>
      </c>
      <c r="Q403" t="s">
        <v>42</v>
      </c>
      <c r="R403" s="21">
        <f t="shared" si="78"/>
        <v>143</v>
      </c>
      <c r="S403" s="21">
        <f>R403+1</f>
        <v>144</v>
      </c>
      <c r="T403">
        <v>8.7999999999999995E-2</v>
      </c>
      <c r="U403">
        <v>0.61</v>
      </c>
    </row>
    <row r="404" spans="14:21" x14ac:dyDescent="0.3">
      <c r="N404">
        <v>373</v>
      </c>
      <c r="O404" t="s">
        <v>39</v>
      </c>
      <c r="P404" t="s">
        <v>23</v>
      </c>
      <c r="Q404" t="s">
        <v>42</v>
      </c>
      <c r="R404">
        <f>R396+9</f>
        <v>145</v>
      </c>
      <c r="S404">
        <f>R404+1</f>
        <v>146</v>
      </c>
      <c r="T404">
        <v>8.7999999999999995E-2</v>
      </c>
      <c r="U404">
        <v>0.61</v>
      </c>
    </row>
    <row r="405" spans="14:21" x14ac:dyDescent="0.3">
      <c r="N405">
        <v>374</v>
      </c>
      <c r="O405" t="s">
        <v>39</v>
      </c>
      <c r="P405" t="s">
        <v>23</v>
      </c>
      <c r="Q405" t="s">
        <v>42</v>
      </c>
      <c r="R405">
        <f t="shared" ref="R405:R411" si="80">S404</f>
        <v>146</v>
      </c>
      <c r="S405">
        <f>R405+1</f>
        <v>147</v>
      </c>
      <c r="T405">
        <v>8.7999999999999995E-2</v>
      </c>
      <c r="U405">
        <v>0.61</v>
      </c>
    </row>
    <row r="406" spans="14:21" x14ac:dyDescent="0.3">
      <c r="N406">
        <v>375</v>
      </c>
      <c r="O406" t="s">
        <v>39</v>
      </c>
      <c r="P406" t="s">
        <v>23</v>
      </c>
      <c r="Q406" t="s">
        <v>42</v>
      </c>
      <c r="R406">
        <f t="shared" si="80"/>
        <v>147</v>
      </c>
      <c r="S406">
        <f t="shared" ref="S406:S410" si="81">R406+1</f>
        <v>148</v>
      </c>
      <c r="T406">
        <v>8.7999999999999995E-2</v>
      </c>
      <c r="U406">
        <v>0.61</v>
      </c>
    </row>
    <row r="407" spans="14:21" x14ac:dyDescent="0.3">
      <c r="N407">
        <v>376</v>
      </c>
      <c r="O407" t="s">
        <v>39</v>
      </c>
      <c r="P407" t="s">
        <v>23</v>
      </c>
      <c r="Q407" t="s">
        <v>42</v>
      </c>
      <c r="R407">
        <f t="shared" si="80"/>
        <v>148</v>
      </c>
      <c r="S407">
        <f t="shared" si="81"/>
        <v>149</v>
      </c>
      <c r="T407">
        <v>8.7999999999999995E-2</v>
      </c>
      <c r="U407">
        <v>0.61</v>
      </c>
    </row>
    <row r="408" spans="14:21" x14ac:dyDescent="0.3">
      <c r="N408">
        <v>377</v>
      </c>
      <c r="O408" t="s">
        <v>39</v>
      </c>
      <c r="P408" t="s">
        <v>23</v>
      </c>
      <c r="Q408" t="s">
        <v>42</v>
      </c>
      <c r="R408">
        <f t="shared" si="80"/>
        <v>149</v>
      </c>
      <c r="S408">
        <f t="shared" si="81"/>
        <v>150</v>
      </c>
      <c r="T408">
        <v>8.7999999999999995E-2</v>
      </c>
      <c r="U408">
        <v>0.61</v>
      </c>
    </row>
    <row r="409" spans="14:21" x14ac:dyDescent="0.3">
      <c r="N409">
        <v>378</v>
      </c>
      <c r="O409" t="s">
        <v>39</v>
      </c>
      <c r="P409" t="s">
        <v>23</v>
      </c>
      <c r="Q409" t="s">
        <v>42</v>
      </c>
      <c r="R409">
        <f t="shared" si="80"/>
        <v>150</v>
      </c>
      <c r="S409">
        <f t="shared" si="81"/>
        <v>151</v>
      </c>
      <c r="T409">
        <v>8.7999999999999995E-2</v>
      </c>
      <c r="U409">
        <v>0.61</v>
      </c>
    </row>
    <row r="410" spans="14:21" x14ac:dyDescent="0.3">
      <c r="N410">
        <v>379</v>
      </c>
      <c r="O410" t="s">
        <v>39</v>
      </c>
      <c r="P410" t="s">
        <v>23</v>
      </c>
      <c r="Q410" t="s">
        <v>42</v>
      </c>
      <c r="R410">
        <f t="shared" si="80"/>
        <v>151</v>
      </c>
      <c r="S410">
        <f t="shared" si="81"/>
        <v>152</v>
      </c>
      <c r="T410">
        <v>8.7999999999999995E-2</v>
      </c>
      <c r="U410">
        <v>0.61</v>
      </c>
    </row>
    <row r="411" spans="14:21" x14ac:dyDescent="0.3">
      <c r="N411">
        <v>380</v>
      </c>
      <c r="O411" t="s">
        <v>39</v>
      </c>
      <c r="P411" t="s">
        <v>23</v>
      </c>
      <c r="Q411" t="s">
        <v>42</v>
      </c>
      <c r="R411">
        <f t="shared" si="80"/>
        <v>152</v>
      </c>
      <c r="S411">
        <f>R411+1</f>
        <v>153</v>
      </c>
      <c r="T411">
        <v>8.7999999999999995E-2</v>
      </c>
      <c r="U411">
        <v>0.61</v>
      </c>
    </row>
    <row r="412" spans="14:21" x14ac:dyDescent="0.3">
      <c r="N412">
        <v>381</v>
      </c>
      <c r="O412" t="s">
        <v>39</v>
      </c>
      <c r="P412" t="s">
        <v>23</v>
      </c>
      <c r="Q412" t="s">
        <v>42</v>
      </c>
      <c r="R412" s="21">
        <f>R404+9</f>
        <v>154</v>
      </c>
      <c r="S412" s="21">
        <f>R412+1</f>
        <v>155</v>
      </c>
      <c r="T412">
        <v>8.7999999999999995E-2</v>
      </c>
      <c r="U412">
        <v>0.61</v>
      </c>
    </row>
    <row r="413" spans="14:21" x14ac:dyDescent="0.3">
      <c r="N413">
        <v>382</v>
      </c>
      <c r="O413" t="s">
        <v>39</v>
      </c>
      <c r="P413" t="s">
        <v>23</v>
      </c>
      <c r="Q413" t="s">
        <v>42</v>
      </c>
      <c r="R413" s="21">
        <f t="shared" ref="R413:R419" si="82">S412</f>
        <v>155</v>
      </c>
      <c r="S413" s="21">
        <f>R413+1</f>
        <v>156</v>
      </c>
      <c r="T413">
        <v>8.7999999999999995E-2</v>
      </c>
      <c r="U413">
        <v>0.61</v>
      </c>
    </row>
    <row r="414" spans="14:21" x14ac:dyDescent="0.3">
      <c r="N414">
        <v>383</v>
      </c>
      <c r="O414" t="s">
        <v>39</v>
      </c>
      <c r="P414" t="s">
        <v>23</v>
      </c>
      <c r="Q414" t="s">
        <v>42</v>
      </c>
      <c r="R414" s="21">
        <f t="shared" si="82"/>
        <v>156</v>
      </c>
      <c r="S414" s="21">
        <f t="shared" ref="S414:S418" si="83">R414+1</f>
        <v>157</v>
      </c>
      <c r="T414">
        <v>8.7999999999999995E-2</v>
      </c>
      <c r="U414">
        <v>0.61</v>
      </c>
    </row>
    <row r="415" spans="14:21" x14ac:dyDescent="0.3">
      <c r="N415">
        <v>384</v>
      </c>
      <c r="O415" t="s">
        <v>39</v>
      </c>
      <c r="P415" t="s">
        <v>23</v>
      </c>
      <c r="Q415" t="s">
        <v>42</v>
      </c>
      <c r="R415" s="21">
        <f t="shared" si="82"/>
        <v>157</v>
      </c>
      <c r="S415" s="21">
        <f t="shared" si="83"/>
        <v>158</v>
      </c>
      <c r="T415">
        <v>8.7999999999999995E-2</v>
      </c>
      <c r="U415">
        <v>0.61</v>
      </c>
    </row>
    <row r="416" spans="14:21" x14ac:dyDescent="0.3">
      <c r="N416">
        <v>385</v>
      </c>
      <c r="O416" t="s">
        <v>39</v>
      </c>
      <c r="P416" t="s">
        <v>23</v>
      </c>
      <c r="Q416" t="s">
        <v>42</v>
      </c>
      <c r="R416" s="21">
        <f t="shared" si="82"/>
        <v>158</v>
      </c>
      <c r="S416" s="21">
        <f t="shared" si="83"/>
        <v>159</v>
      </c>
      <c r="T416">
        <v>8.7999999999999995E-2</v>
      </c>
      <c r="U416">
        <v>0.61</v>
      </c>
    </row>
    <row r="417" spans="14:21" x14ac:dyDescent="0.3">
      <c r="N417">
        <v>386</v>
      </c>
      <c r="O417" t="s">
        <v>39</v>
      </c>
      <c r="P417" t="s">
        <v>23</v>
      </c>
      <c r="Q417" t="s">
        <v>42</v>
      </c>
      <c r="R417" s="21">
        <f t="shared" si="82"/>
        <v>159</v>
      </c>
      <c r="S417" s="21">
        <f t="shared" si="83"/>
        <v>160</v>
      </c>
      <c r="T417">
        <v>8.7999999999999995E-2</v>
      </c>
      <c r="U417">
        <v>0.61</v>
      </c>
    </row>
    <row r="418" spans="14:21" x14ac:dyDescent="0.3">
      <c r="N418">
        <v>387</v>
      </c>
      <c r="O418" t="s">
        <v>39</v>
      </c>
      <c r="P418" t="s">
        <v>23</v>
      </c>
      <c r="Q418" t="s">
        <v>42</v>
      </c>
      <c r="R418" s="21">
        <f t="shared" si="82"/>
        <v>160</v>
      </c>
      <c r="S418" s="21">
        <f t="shared" si="83"/>
        <v>161</v>
      </c>
      <c r="T418">
        <v>8.7999999999999995E-2</v>
      </c>
      <c r="U418">
        <v>0.61</v>
      </c>
    </row>
    <row r="419" spans="14:21" x14ac:dyDescent="0.3">
      <c r="N419">
        <v>388</v>
      </c>
      <c r="O419" t="s">
        <v>39</v>
      </c>
      <c r="P419" t="s">
        <v>23</v>
      </c>
      <c r="Q419" t="s">
        <v>42</v>
      </c>
      <c r="R419" s="21">
        <f t="shared" si="82"/>
        <v>161</v>
      </c>
      <c r="S419" s="21">
        <f>R419+1</f>
        <v>162</v>
      </c>
      <c r="T419">
        <v>8.7999999999999995E-2</v>
      </c>
      <c r="U419">
        <v>0.61</v>
      </c>
    </row>
    <row r="420" spans="14:21" x14ac:dyDescent="0.3">
      <c r="N420">
        <v>389</v>
      </c>
      <c r="O420" t="s">
        <v>41</v>
      </c>
      <c r="P420" t="s">
        <v>23</v>
      </c>
      <c r="Q420" t="s">
        <v>42</v>
      </c>
      <c r="R420">
        <v>10</v>
      </c>
      <c r="S420">
        <v>181</v>
      </c>
      <c r="T420">
        <v>8.7999999999999995E-2</v>
      </c>
      <c r="U420">
        <v>0.39100000000000001</v>
      </c>
    </row>
    <row r="421" spans="14:21" x14ac:dyDescent="0.3">
      <c r="N421">
        <v>390</v>
      </c>
      <c r="O421" t="s">
        <v>41</v>
      </c>
      <c r="P421" t="s">
        <v>23</v>
      </c>
      <c r="Q421" t="s">
        <v>42</v>
      </c>
      <c r="R421">
        <f t="shared" ref="R421:R484" si="84">S420</f>
        <v>181</v>
      </c>
      <c r="S421">
        <f>R421+1</f>
        <v>182</v>
      </c>
      <c r="T421">
        <v>8.7999999999999995E-2</v>
      </c>
      <c r="U421">
        <v>0.39100000000000001</v>
      </c>
    </row>
    <row r="422" spans="14:21" x14ac:dyDescent="0.3">
      <c r="N422">
        <v>391</v>
      </c>
      <c r="O422" t="s">
        <v>41</v>
      </c>
      <c r="P422" t="s">
        <v>23</v>
      </c>
      <c r="Q422" t="s">
        <v>42</v>
      </c>
      <c r="R422">
        <f t="shared" si="84"/>
        <v>182</v>
      </c>
      <c r="S422">
        <f t="shared" ref="S422:S426" si="85">R422+1</f>
        <v>183</v>
      </c>
      <c r="T422">
        <v>8.7999999999999995E-2</v>
      </c>
      <c r="U422">
        <v>0.39100000000000001</v>
      </c>
    </row>
    <row r="423" spans="14:21" x14ac:dyDescent="0.3">
      <c r="N423">
        <v>392</v>
      </c>
      <c r="O423" t="s">
        <v>40</v>
      </c>
      <c r="P423" t="s">
        <v>23</v>
      </c>
      <c r="Q423" t="s">
        <v>42</v>
      </c>
      <c r="R423">
        <f t="shared" si="84"/>
        <v>183</v>
      </c>
      <c r="S423">
        <f t="shared" si="85"/>
        <v>184</v>
      </c>
      <c r="T423">
        <v>6.5000000000000002E-2</v>
      </c>
      <c r="U423">
        <v>0.61</v>
      </c>
    </row>
    <row r="424" spans="14:21" x14ac:dyDescent="0.3">
      <c r="N424">
        <v>393</v>
      </c>
      <c r="O424" t="s">
        <v>40</v>
      </c>
      <c r="P424" t="s">
        <v>23</v>
      </c>
      <c r="Q424" t="s">
        <v>42</v>
      </c>
      <c r="R424">
        <f t="shared" si="84"/>
        <v>184</v>
      </c>
      <c r="S424">
        <f t="shared" si="85"/>
        <v>185</v>
      </c>
      <c r="T424">
        <v>6.5000000000000002E-2</v>
      </c>
      <c r="U424">
        <v>0.61</v>
      </c>
    </row>
    <row r="425" spans="14:21" x14ac:dyDescent="0.3">
      <c r="N425">
        <v>394</v>
      </c>
      <c r="O425" t="s">
        <v>40</v>
      </c>
      <c r="P425" t="s">
        <v>23</v>
      </c>
      <c r="Q425" t="s">
        <v>42</v>
      </c>
      <c r="R425">
        <f t="shared" si="84"/>
        <v>185</v>
      </c>
      <c r="S425">
        <f t="shared" si="85"/>
        <v>186</v>
      </c>
      <c r="T425">
        <v>6.5000000000000002E-2</v>
      </c>
      <c r="U425">
        <v>0.61</v>
      </c>
    </row>
    <row r="426" spans="14:21" x14ac:dyDescent="0.3">
      <c r="N426">
        <v>395</v>
      </c>
      <c r="O426" t="s">
        <v>40</v>
      </c>
      <c r="P426" t="s">
        <v>23</v>
      </c>
      <c r="Q426" t="s">
        <v>42</v>
      </c>
      <c r="R426">
        <f t="shared" si="84"/>
        <v>186</v>
      </c>
      <c r="S426">
        <f t="shared" si="85"/>
        <v>187</v>
      </c>
      <c r="T426">
        <v>6.5000000000000002E-2</v>
      </c>
      <c r="U426">
        <v>0.61</v>
      </c>
    </row>
    <row r="427" spans="14:21" x14ac:dyDescent="0.3">
      <c r="N427">
        <v>396</v>
      </c>
      <c r="O427" t="s">
        <v>41</v>
      </c>
      <c r="P427" t="s">
        <v>23</v>
      </c>
      <c r="Q427" t="s">
        <v>42</v>
      </c>
      <c r="R427">
        <f t="shared" si="84"/>
        <v>187</v>
      </c>
      <c r="S427">
        <f>R427+1</f>
        <v>188</v>
      </c>
      <c r="T427">
        <v>8.7999999999999995E-2</v>
      </c>
      <c r="U427">
        <v>0.39100000000000001</v>
      </c>
    </row>
    <row r="428" spans="14:21" x14ac:dyDescent="0.3">
      <c r="N428">
        <v>397</v>
      </c>
      <c r="O428" t="s">
        <v>41</v>
      </c>
      <c r="P428" t="s">
        <v>23</v>
      </c>
      <c r="Q428" t="s">
        <v>42</v>
      </c>
      <c r="R428">
        <f t="shared" si="84"/>
        <v>188</v>
      </c>
      <c r="S428">
        <f>R428+1</f>
        <v>189</v>
      </c>
      <c r="T428">
        <v>8.7999999999999995E-2</v>
      </c>
      <c r="U428">
        <v>0.39100000000000001</v>
      </c>
    </row>
    <row r="429" spans="14:21" x14ac:dyDescent="0.3">
      <c r="N429">
        <v>398</v>
      </c>
      <c r="O429" t="s">
        <v>41</v>
      </c>
      <c r="P429" t="s">
        <v>23</v>
      </c>
      <c r="Q429" t="s">
        <v>42</v>
      </c>
      <c r="R429">
        <f t="shared" si="84"/>
        <v>189</v>
      </c>
      <c r="S429">
        <v>154</v>
      </c>
      <c r="T429">
        <v>8.7999999999999995E-2</v>
      </c>
      <c r="U429">
        <v>0.39100000000000001</v>
      </c>
    </row>
    <row r="430" spans="14:21" x14ac:dyDescent="0.3">
      <c r="N430">
        <v>399</v>
      </c>
      <c r="O430" t="s">
        <v>41</v>
      </c>
      <c r="P430" t="s">
        <v>23</v>
      </c>
      <c r="Q430" t="s">
        <v>42</v>
      </c>
      <c r="R430" s="18">
        <f>R420+9</f>
        <v>19</v>
      </c>
      <c r="S430" s="18">
        <f>S420+9</f>
        <v>190</v>
      </c>
      <c r="T430">
        <v>8.7999999999999995E-2</v>
      </c>
      <c r="U430">
        <v>0.30299999999999999</v>
      </c>
    </row>
    <row r="431" spans="14:21" x14ac:dyDescent="0.3">
      <c r="N431">
        <v>400</v>
      </c>
      <c r="O431" t="s">
        <v>41</v>
      </c>
      <c r="P431" t="s">
        <v>23</v>
      </c>
      <c r="Q431" t="s">
        <v>42</v>
      </c>
      <c r="R431" s="18">
        <f t="shared" si="84"/>
        <v>190</v>
      </c>
      <c r="S431" s="18">
        <f>R431+1</f>
        <v>191</v>
      </c>
      <c r="T431">
        <v>8.7999999999999995E-2</v>
      </c>
      <c r="U431">
        <v>0.30299999999999999</v>
      </c>
    </row>
    <row r="432" spans="14:21" x14ac:dyDescent="0.3">
      <c r="N432">
        <v>401</v>
      </c>
      <c r="O432" t="s">
        <v>41</v>
      </c>
      <c r="P432" t="s">
        <v>23</v>
      </c>
      <c r="Q432" t="s">
        <v>42</v>
      </c>
      <c r="R432" s="18">
        <f t="shared" si="84"/>
        <v>191</v>
      </c>
      <c r="S432" s="18">
        <f t="shared" ref="S432:S436" si="86">R432+1</f>
        <v>192</v>
      </c>
      <c r="T432">
        <v>8.7999999999999995E-2</v>
      </c>
      <c r="U432">
        <v>0.30299999999999999</v>
      </c>
    </row>
    <row r="433" spans="14:21" x14ac:dyDescent="0.3">
      <c r="N433">
        <v>402</v>
      </c>
      <c r="O433" t="s">
        <v>40</v>
      </c>
      <c r="P433" t="s">
        <v>23</v>
      </c>
      <c r="Q433" t="s">
        <v>42</v>
      </c>
      <c r="R433" s="18">
        <f t="shared" si="84"/>
        <v>192</v>
      </c>
      <c r="S433" s="18">
        <f t="shared" si="86"/>
        <v>193</v>
      </c>
      <c r="T433">
        <v>6.5000000000000002E-2</v>
      </c>
      <c r="U433">
        <v>0.61</v>
      </c>
    </row>
    <row r="434" spans="14:21" x14ac:dyDescent="0.3">
      <c r="N434">
        <v>403</v>
      </c>
      <c r="O434" t="s">
        <v>40</v>
      </c>
      <c r="P434" t="s">
        <v>23</v>
      </c>
      <c r="Q434" t="s">
        <v>42</v>
      </c>
      <c r="R434" s="18">
        <f t="shared" si="84"/>
        <v>193</v>
      </c>
      <c r="S434" s="18">
        <f t="shared" si="86"/>
        <v>194</v>
      </c>
      <c r="T434">
        <v>6.5000000000000002E-2</v>
      </c>
      <c r="U434">
        <v>0.61</v>
      </c>
    </row>
    <row r="435" spans="14:21" x14ac:dyDescent="0.3">
      <c r="N435">
        <v>404</v>
      </c>
      <c r="O435" t="s">
        <v>40</v>
      </c>
      <c r="P435" t="s">
        <v>23</v>
      </c>
      <c r="Q435" t="s">
        <v>42</v>
      </c>
      <c r="R435" s="18">
        <f t="shared" si="84"/>
        <v>194</v>
      </c>
      <c r="S435" s="18">
        <f t="shared" si="86"/>
        <v>195</v>
      </c>
      <c r="T435">
        <v>6.5000000000000002E-2</v>
      </c>
      <c r="U435">
        <v>0.61</v>
      </c>
    </row>
    <row r="436" spans="14:21" x14ac:dyDescent="0.3">
      <c r="N436">
        <v>405</v>
      </c>
      <c r="O436" t="s">
        <v>40</v>
      </c>
      <c r="P436" t="s">
        <v>23</v>
      </c>
      <c r="Q436" t="s">
        <v>42</v>
      </c>
      <c r="R436" s="18">
        <f t="shared" si="84"/>
        <v>195</v>
      </c>
      <c r="S436" s="18">
        <f t="shared" si="86"/>
        <v>196</v>
      </c>
      <c r="T436">
        <v>6.5000000000000002E-2</v>
      </c>
      <c r="U436">
        <v>0.61</v>
      </c>
    </row>
    <row r="437" spans="14:21" x14ac:dyDescent="0.3">
      <c r="N437">
        <v>406</v>
      </c>
      <c r="O437" t="s">
        <v>41</v>
      </c>
      <c r="P437" t="s">
        <v>23</v>
      </c>
      <c r="Q437" t="s">
        <v>42</v>
      </c>
      <c r="R437" s="18">
        <f t="shared" si="84"/>
        <v>196</v>
      </c>
      <c r="S437" s="18">
        <f>R437+1</f>
        <v>197</v>
      </c>
      <c r="T437">
        <v>8.7999999999999995E-2</v>
      </c>
      <c r="U437">
        <v>0.30299999999999999</v>
      </c>
    </row>
    <row r="438" spans="14:21" x14ac:dyDescent="0.3">
      <c r="N438">
        <v>407</v>
      </c>
      <c r="O438" t="s">
        <v>41</v>
      </c>
      <c r="P438" t="s">
        <v>23</v>
      </c>
      <c r="Q438" t="s">
        <v>42</v>
      </c>
      <c r="R438" s="18">
        <f t="shared" si="84"/>
        <v>197</v>
      </c>
      <c r="S438" s="18">
        <f>R438+1</f>
        <v>198</v>
      </c>
      <c r="T438">
        <v>8.7999999999999995E-2</v>
      </c>
      <c r="U438">
        <v>0.30299999999999999</v>
      </c>
    </row>
    <row r="439" spans="14:21" x14ac:dyDescent="0.3">
      <c r="N439">
        <v>408</v>
      </c>
      <c r="O439" t="s">
        <v>41</v>
      </c>
      <c r="P439" t="s">
        <v>23</v>
      </c>
      <c r="Q439" t="s">
        <v>42</v>
      </c>
      <c r="R439" s="18">
        <f t="shared" si="84"/>
        <v>198</v>
      </c>
      <c r="S439" s="18">
        <f>S429-9</f>
        <v>145</v>
      </c>
      <c r="T439">
        <v>8.7999999999999995E-2</v>
      </c>
      <c r="U439">
        <v>0.30299999999999999</v>
      </c>
    </row>
    <row r="440" spans="14:21" x14ac:dyDescent="0.3">
      <c r="N440">
        <v>409</v>
      </c>
      <c r="O440" t="s">
        <v>41</v>
      </c>
      <c r="P440" t="s">
        <v>23</v>
      </c>
      <c r="Q440" t="s">
        <v>42</v>
      </c>
      <c r="R440">
        <f>R430+9</f>
        <v>28</v>
      </c>
      <c r="S440">
        <f>S430+9</f>
        <v>199</v>
      </c>
      <c r="T440">
        <v>8.7999999999999995E-2</v>
      </c>
      <c r="U440">
        <v>0.30299999999999999</v>
      </c>
    </row>
    <row r="441" spans="14:21" x14ac:dyDescent="0.3">
      <c r="N441">
        <v>410</v>
      </c>
      <c r="O441" t="s">
        <v>41</v>
      </c>
      <c r="P441" t="s">
        <v>23</v>
      </c>
      <c r="Q441" t="s">
        <v>42</v>
      </c>
      <c r="R441">
        <f t="shared" si="84"/>
        <v>199</v>
      </c>
      <c r="S441">
        <f>R441+1</f>
        <v>200</v>
      </c>
      <c r="T441">
        <v>8.7999999999999995E-2</v>
      </c>
      <c r="U441">
        <v>0.30299999999999999</v>
      </c>
    </row>
    <row r="442" spans="14:21" x14ac:dyDescent="0.3">
      <c r="N442">
        <v>411</v>
      </c>
      <c r="O442" t="s">
        <v>41</v>
      </c>
      <c r="P442" t="s">
        <v>23</v>
      </c>
      <c r="Q442" t="s">
        <v>42</v>
      </c>
      <c r="R442">
        <f t="shared" si="84"/>
        <v>200</v>
      </c>
      <c r="S442">
        <f t="shared" ref="S442:S446" si="87">R442+1</f>
        <v>201</v>
      </c>
      <c r="T442">
        <v>8.7999999999999995E-2</v>
      </c>
      <c r="U442">
        <v>0.30299999999999999</v>
      </c>
    </row>
    <row r="443" spans="14:21" x14ac:dyDescent="0.3">
      <c r="N443">
        <v>412</v>
      </c>
      <c r="O443" t="s">
        <v>40</v>
      </c>
      <c r="P443" t="s">
        <v>23</v>
      </c>
      <c r="Q443" t="s">
        <v>42</v>
      </c>
      <c r="R443">
        <f t="shared" si="84"/>
        <v>201</v>
      </c>
      <c r="S443">
        <f t="shared" si="87"/>
        <v>202</v>
      </c>
      <c r="T443">
        <v>6.5000000000000002E-2</v>
      </c>
      <c r="U443">
        <v>0.61</v>
      </c>
    </row>
    <row r="444" spans="14:21" x14ac:dyDescent="0.3">
      <c r="N444">
        <v>413</v>
      </c>
      <c r="O444" t="s">
        <v>40</v>
      </c>
      <c r="P444" t="s">
        <v>23</v>
      </c>
      <c r="Q444" t="s">
        <v>42</v>
      </c>
      <c r="R444">
        <f t="shared" si="84"/>
        <v>202</v>
      </c>
      <c r="S444">
        <f t="shared" si="87"/>
        <v>203</v>
      </c>
      <c r="T444">
        <v>6.5000000000000002E-2</v>
      </c>
      <c r="U444">
        <v>0.61</v>
      </c>
    </row>
    <row r="445" spans="14:21" x14ac:dyDescent="0.3">
      <c r="N445">
        <v>414</v>
      </c>
      <c r="O445" t="s">
        <v>40</v>
      </c>
      <c r="P445" t="s">
        <v>23</v>
      </c>
      <c r="Q445" t="s">
        <v>42</v>
      </c>
      <c r="R445">
        <f t="shared" si="84"/>
        <v>203</v>
      </c>
      <c r="S445">
        <f t="shared" si="87"/>
        <v>204</v>
      </c>
      <c r="T445">
        <v>6.5000000000000002E-2</v>
      </c>
      <c r="U445">
        <v>0.61</v>
      </c>
    </row>
    <row r="446" spans="14:21" x14ac:dyDescent="0.3">
      <c r="N446">
        <v>415</v>
      </c>
      <c r="O446" t="s">
        <v>40</v>
      </c>
      <c r="P446" t="s">
        <v>23</v>
      </c>
      <c r="Q446" t="s">
        <v>42</v>
      </c>
      <c r="R446">
        <f t="shared" si="84"/>
        <v>204</v>
      </c>
      <c r="S446">
        <f t="shared" si="87"/>
        <v>205</v>
      </c>
      <c r="T446">
        <v>6.5000000000000002E-2</v>
      </c>
      <c r="U446">
        <v>0.61</v>
      </c>
    </row>
    <row r="447" spans="14:21" x14ac:dyDescent="0.3">
      <c r="N447">
        <v>416</v>
      </c>
      <c r="O447" t="s">
        <v>41</v>
      </c>
      <c r="P447" t="s">
        <v>23</v>
      </c>
      <c r="Q447" t="s">
        <v>42</v>
      </c>
      <c r="R447">
        <f t="shared" si="84"/>
        <v>205</v>
      </c>
      <c r="S447">
        <f>R447+1</f>
        <v>206</v>
      </c>
      <c r="T447">
        <v>8.7999999999999995E-2</v>
      </c>
      <c r="U447">
        <v>0.30299999999999999</v>
      </c>
    </row>
    <row r="448" spans="14:21" x14ac:dyDescent="0.3">
      <c r="N448">
        <v>417</v>
      </c>
      <c r="O448" t="s">
        <v>41</v>
      </c>
      <c r="P448" t="s">
        <v>23</v>
      </c>
      <c r="Q448" t="s">
        <v>42</v>
      </c>
      <c r="R448">
        <f t="shared" si="84"/>
        <v>206</v>
      </c>
      <c r="S448">
        <f>R448+1</f>
        <v>207</v>
      </c>
      <c r="T448">
        <v>8.7999999999999995E-2</v>
      </c>
      <c r="U448">
        <v>0.30299999999999999</v>
      </c>
    </row>
    <row r="449" spans="14:21" x14ac:dyDescent="0.3">
      <c r="N449">
        <v>418</v>
      </c>
      <c r="O449" t="s">
        <v>41</v>
      </c>
      <c r="P449" t="s">
        <v>23</v>
      </c>
      <c r="Q449" t="s">
        <v>42</v>
      </c>
      <c r="R449">
        <f t="shared" si="84"/>
        <v>207</v>
      </c>
      <c r="S449">
        <f>S439-9</f>
        <v>136</v>
      </c>
      <c r="T449">
        <v>8.7999999999999995E-2</v>
      </c>
      <c r="U449">
        <v>0.30299999999999999</v>
      </c>
    </row>
    <row r="450" spans="14:21" x14ac:dyDescent="0.3">
      <c r="N450">
        <v>419</v>
      </c>
      <c r="O450" t="s">
        <v>41</v>
      </c>
      <c r="P450" t="s">
        <v>23</v>
      </c>
      <c r="Q450" t="s">
        <v>42</v>
      </c>
      <c r="R450" s="18">
        <f>R440+9</f>
        <v>37</v>
      </c>
      <c r="S450" s="18">
        <f>S440+9</f>
        <v>208</v>
      </c>
      <c r="T450">
        <v>8.7999999999999995E-2</v>
      </c>
      <c r="U450">
        <v>0.30299999999999999</v>
      </c>
    </row>
    <row r="451" spans="14:21" x14ac:dyDescent="0.3">
      <c r="N451">
        <v>420</v>
      </c>
      <c r="O451" t="s">
        <v>41</v>
      </c>
      <c r="P451" t="s">
        <v>23</v>
      </c>
      <c r="Q451" t="s">
        <v>42</v>
      </c>
      <c r="R451" s="18">
        <f t="shared" si="84"/>
        <v>208</v>
      </c>
      <c r="S451" s="18">
        <f>R451+1</f>
        <v>209</v>
      </c>
      <c r="T451">
        <v>8.7999999999999995E-2</v>
      </c>
      <c r="U451">
        <v>0.30299999999999999</v>
      </c>
    </row>
    <row r="452" spans="14:21" x14ac:dyDescent="0.3">
      <c r="N452">
        <v>421</v>
      </c>
      <c r="O452" t="s">
        <v>41</v>
      </c>
      <c r="P452" t="s">
        <v>23</v>
      </c>
      <c r="Q452" t="s">
        <v>42</v>
      </c>
      <c r="R452" s="18">
        <f t="shared" si="84"/>
        <v>209</v>
      </c>
      <c r="S452" s="18">
        <f t="shared" ref="S452:S456" si="88">R452+1</f>
        <v>210</v>
      </c>
      <c r="T452">
        <v>8.7999999999999995E-2</v>
      </c>
      <c r="U452">
        <v>0.30299999999999999</v>
      </c>
    </row>
    <row r="453" spans="14:21" x14ac:dyDescent="0.3">
      <c r="N453">
        <v>422</v>
      </c>
      <c r="O453" t="s">
        <v>40</v>
      </c>
      <c r="P453" t="s">
        <v>23</v>
      </c>
      <c r="Q453" t="s">
        <v>42</v>
      </c>
      <c r="R453" s="18">
        <f t="shared" si="84"/>
        <v>210</v>
      </c>
      <c r="S453" s="18">
        <f t="shared" si="88"/>
        <v>211</v>
      </c>
      <c r="T453">
        <v>6.5000000000000002E-2</v>
      </c>
      <c r="U453">
        <v>0.61</v>
      </c>
    </row>
    <row r="454" spans="14:21" x14ac:dyDescent="0.3">
      <c r="N454">
        <v>423</v>
      </c>
      <c r="O454" t="s">
        <v>40</v>
      </c>
      <c r="P454" t="s">
        <v>23</v>
      </c>
      <c r="Q454" t="s">
        <v>42</v>
      </c>
      <c r="R454" s="18">
        <f t="shared" si="84"/>
        <v>211</v>
      </c>
      <c r="S454" s="18">
        <f t="shared" si="88"/>
        <v>212</v>
      </c>
      <c r="T454">
        <v>6.5000000000000002E-2</v>
      </c>
      <c r="U454">
        <v>0.61</v>
      </c>
    </row>
    <row r="455" spans="14:21" x14ac:dyDescent="0.3">
      <c r="N455">
        <v>424</v>
      </c>
      <c r="O455" t="s">
        <v>40</v>
      </c>
      <c r="P455" t="s">
        <v>23</v>
      </c>
      <c r="Q455" t="s">
        <v>42</v>
      </c>
      <c r="R455" s="18">
        <f t="shared" si="84"/>
        <v>212</v>
      </c>
      <c r="S455" s="18">
        <f t="shared" si="88"/>
        <v>213</v>
      </c>
      <c r="T455">
        <v>6.5000000000000002E-2</v>
      </c>
      <c r="U455">
        <v>0.61</v>
      </c>
    </row>
    <row r="456" spans="14:21" x14ac:dyDescent="0.3">
      <c r="N456">
        <v>425</v>
      </c>
      <c r="O456" t="s">
        <v>40</v>
      </c>
      <c r="P456" t="s">
        <v>23</v>
      </c>
      <c r="Q456" t="s">
        <v>42</v>
      </c>
      <c r="R456" s="18">
        <f t="shared" si="84"/>
        <v>213</v>
      </c>
      <c r="S456" s="18">
        <f t="shared" si="88"/>
        <v>214</v>
      </c>
      <c r="T456">
        <v>6.5000000000000002E-2</v>
      </c>
      <c r="U456">
        <v>0.61</v>
      </c>
    </row>
    <row r="457" spans="14:21" x14ac:dyDescent="0.3">
      <c r="N457">
        <v>426</v>
      </c>
      <c r="O457" t="s">
        <v>41</v>
      </c>
      <c r="P457" t="s">
        <v>23</v>
      </c>
      <c r="Q457" t="s">
        <v>42</v>
      </c>
      <c r="R457" s="18">
        <f t="shared" si="84"/>
        <v>214</v>
      </c>
      <c r="S457" s="18">
        <f>R457+1</f>
        <v>215</v>
      </c>
      <c r="T457">
        <v>8.7999999999999995E-2</v>
      </c>
      <c r="U457">
        <v>0.30299999999999999</v>
      </c>
    </row>
    <row r="458" spans="14:21" x14ac:dyDescent="0.3">
      <c r="N458">
        <v>427</v>
      </c>
      <c r="O458" t="s">
        <v>41</v>
      </c>
      <c r="P458" t="s">
        <v>23</v>
      </c>
      <c r="Q458" t="s">
        <v>42</v>
      </c>
      <c r="R458" s="18">
        <f t="shared" si="84"/>
        <v>215</v>
      </c>
      <c r="S458" s="18">
        <f>R458+1</f>
        <v>216</v>
      </c>
      <c r="T458">
        <v>8.7999999999999995E-2</v>
      </c>
      <c r="U458">
        <v>0.30299999999999999</v>
      </c>
    </row>
    <row r="459" spans="14:21" x14ac:dyDescent="0.3">
      <c r="N459">
        <v>428</v>
      </c>
      <c r="O459" t="s">
        <v>41</v>
      </c>
      <c r="P459" t="s">
        <v>23</v>
      </c>
      <c r="Q459" t="s">
        <v>42</v>
      </c>
      <c r="R459" s="18">
        <f t="shared" si="84"/>
        <v>216</v>
      </c>
      <c r="S459" s="18">
        <f>S449-9</f>
        <v>127</v>
      </c>
      <c r="T459">
        <v>8.7999999999999995E-2</v>
      </c>
      <c r="U459">
        <v>0.30299999999999999</v>
      </c>
    </row>
    <row r="460" spans="14:21" x14ac:dyDescent="0.3">
      <c r="N460">
        <v>429</v>
      </c>
      <c r="O460" t="s">
        <v>41</v>
      </c>
      <c r="P460" t="s">
        <v>23</v>
      </c>
      <c r="Q460" t="s">
        <v>42</v>
      </c>
      <c r="R460">
        <v>18</v>
      </c>
      <c r="S460">
        <v>226</v>
      </c>
      <c r="T460">
        <v>8.7999999999999995E-2</v>
      </c>
      <c r="U460">
        <v>0.39100000000000001</v>
      </c>
    </row>
    <row r="461" spans="14:21" x14ac:dyDescent="0.3">
      <c r="N461">
        <v>430</v>
      </c>
      <c r="O461" t="s">
        <v>41</v>
      </c>
      <c r="P461" t="s">
        <v>23</v>
      </c>
      <c r="Q461" t="s">
        <v>42</v>
      </c>
      <c r="R461">
        <f t="shared" si="84"/>
        <v>226</v>
      </c>
      <c r="S461">
        <f>R461+1</f>
        <v>227</v>
      </c>
      <c r="T461">
        <v>8.7999999999999995E-2</v>
      </c>
      <c r="U461">
        <v>0.39100000000000001</v>
      </c>
    </row>
    <row r="462" spans="14:21" x14ac:dyDescent="0.3">
      <c r="N462">
        <v>431</v>
      </c>
      <c r="O462" t="s">
        <v>41</v>
      </c>
      <c r="P462" t="s">
        <v>23</v>
      </c>
      <c r="Q462" t="s">
        <v>42</v>
      </c>
      <c r="R462">
        <f t="shared" si="84"/>
        <v>227</v>
      </c>
      <c r="S462">
        <f t="shared" ref="S462:S466" si="89">R462+1</f>
        <v>228</v>
      </c>
      <c r="T462">
        <v>8.7999999999999995E-2</v>
      </c>
      <c r="U462">
        <v>0.39100000000000001</v>
      </c>
    </row>
    <row r="463" spans="14:21" x14ac:dyDescent="0.3">
      <c r="N463">
        <v>432</v>
      </c>
      <c r="O463" t="s">
        <v>40</v>
      </c>
      <c r="P463" t="s">
        <v>23</v>
      </c>
      <c r="Q463" t="s">
        <v>42</v>
      </c>
      <c r="R463">
        <f t="shared" si="84"/>
        <v>228</v>
      </c>
      <c r="S463">
        <f t="shared" si="89"/>
        <v>229</v>
      </c>
      <c r="T463">
        <v>6.5000000000000002E-2</v>
      </c>
      <c r="U463">
        <v>0.61</v>
      </c>
    </row>
    <row r="464" spans="14:21" x14ac:dyDescent="0.3">
      <c r="N464">
        <v>433</v>
      </c>
      <c r="O464" t="s">
        <v>40</v>
      </c>
      <c r="P464" t="s">
        <v>23</v>
      </c>
      <c r="Q464" t="s">
        <v>42</v>
      </c>
      <c r="R464">
        <f t="shared" si="84"/>
        <v>229</v>
      </c>
      <c r="S464">
        <f t="shared" si="89"/>
        <v>230</v>
      </c>
      <c r="T464">
        <v>6.5000000000000002E-2</v>
      </c>
      <c r="U464">
        <v>0.61</v>
      </c>
    </row>
    <row r="465" spans="14:21" x14ac:dyDescent="0.3">
      <c r="N465">
        <v>434</v>
      </c>
      <c r="O465" t="s">
        <v>40</v>
      </c>
      <c r="P465" t="s">
        <v>23</v>
      </c>
      <c r="Q465" t="s">
        <v>42</v>
      </c>
      <c r="R465">
        <f t="shared" si="84"/>
        <v>230</v>
      </c>
      <c r="S465">
        <f t="shared" si="89"/>
        <v>231</v>
      </c>
      <c r="T465">
        <v>6.5000000000000002E-2</v>
      </c>
      <c r="U465">
        <v>0.61</v>
      </c>
    </row>
    <row r="466" spans="14:21" x14ac:dyDescent="0.3">
      <c r="N466">
        <v>435</v>
      </c>
      <c r="O466" t="s">
        <v>40</v>
      </c>
      <c r="P466" t="s">
        <v>23</v>
      </c>
      <c r="Q466" t="s">
        <v>42</v>
      </c>
      <c r="R466">
        <f t="shared" si="84"/>
        <v>231</v>
      </c>
      <c r="S466">
        <f t="shared" si="89"/>
        <v>232</v>
      </c>
      <c r="T466">
        <v>6.5000000000000002E-2</v>
      </c>
      <c r="U466">
        <v>0.61</v>
      </c>
    </row>
    <row r="467" spans="14:21" x14ac:dyDescent="0.3">
      <c r="N467">
        <v>436</v>
      </c>
      <c r="O467" t="s">
        <v>41</v>
      </c>
      <c r="P467" t="s">
        <v>23</v>
      </c>
      <c r="Q467" t="s">
        <v>42</v>
      </c>
      <c r="R467">
        <f t="shared" si="84"/>
        <v>232</v>
      </c>
      <c r="S467">
        <f>R467+1</f>
        <v>233</v>
      </c>
      <c r="T467">
        <v>8.7999999999999995E-2</v>
      </c>
      <c r="U467">
        <v>0.39100000000000001</v>
      </c>
    </row>
    <row r="468" spans="14:21" x14ac:dyDescent="0.3">
      <c r="N468">
        <v>437</v>
      </c>
      <c r="O468" t="s">
        <v>41</v>
      </c>
      <c r="P468" t="s">
        <v>23</v>
      </c>
      <c r="Q468" t="s">
        <v>42</v>
      </c>
      <c r="R468">
        <f t="shared" si="84"/>
        <v>233</v>
      </c>
      <c r="S468">
        <f>R468+1</f>
        <v>234</v>
      </c>
      <c r="T468">
        <v>8.7999999999999995E-2</v>
      </c>
      <c r="U468">
        <v>0.39100000000000001</v>
      </c>
    </row>
    <row r="469" spans="14:21" x14ac:dyDescent="0.3">
      <c r="N469">
        <v>438</v>
      </c>
      <c r="O469" t="s">
        <v>41</v>
      </c>
      <c r="P469" t="s">
        <v>23</v>
      </c>
      <c r="Q469" t="s">
        <v>42</v>
      </c>
      <c r="R469">
        <f t="shared" si="84"/>
        <v>234</v>
      </c>
      <c r="S469">
        <v>162</v>
      </c>
      <c r="T469">
        <v>8.7999999999999995E-2</v>
      </c>
      <c r="U469">
        <v>0.39100000000000001</v>
      </c>
    </row>
    <row r="470" spans="14:21" x14ac:dyDescent="0.3">
      <c r="N470">
        <v>439</v>
      </c>
      <c r="O470" t="s">
        <v>41</v>
      </c>
      <c r="P470" t="s">
        <v>23</v>
      </c>
      <c r="Q470" t="s">
        <v>42</v>
      </c>
      <c r="R470" s="18">
        <f>R460+9</f>
        <v>27</v>
      </c>
      <c r="S470" s="18">
        <f>S460+9</f>
        <v>235</v>
      </c>
      <c r="T470">
        <v>8.7999999999999995E-2</v>
      </c>
      <c r="U470">
        <v>0.30299999999999999</v>
      </c>
    </row>
    <row r="471" spans="14:21" x14ac:dyDescent="0.3">
      <c r="N471">
        <v>440</v>
      </c>
      <c r="O471" t="s">
        <v>41</v>
      </c>
      <c r="P471" t="s">
        <v>23</v>
      </c>
      <c r="Q471" t="s">
        <v>42</v>
      </c>
      <c r="R471" s="18">
        <f t="shared" si="84"/>
        <v>235</v>
      </c>
      <c r="S471" s="18">
        <f>R471+1</f>
        <v>236</v>
      </c>
      <c r="T471">
        <v>8.7999999999999995E-2</v>
      </c>
      <c r="U471">
        <v>0.30299999999999999</v>
      </c>
    </row>
    <row r="472" spans="14:21" x14ac:dyDescent="0.3">
      <c r="N472">
        <v>441</v>
      </c>
      <c r="O472" t="s">
        <v>41</v>
      </c>
      <c r="P472" t="s">
        <v>23</v>
      </c>
      <c r="Q472" t="s">
        <v>42</v>
      </c>
      <c r="R472" s="18">
        <f t="shared" si="84"/>
        <v>236</v>
      </c>
      <c r="S472" s="18">
        <f t="shared" ref="S472:S476" si="90">R472+1</f>
        <v>237</v>
      </c>
      <c r="T472">
        <v>8.7999999999999995E-2</v>
      </c>
      <c r="U472">
        <v>0.30299999999999999</v>
      </c>
    </row>
    <row r="473" spans="14:21" x14ac:dyDescent="0.3">
      <c r="N473">
        <v>442</v>
      </c>
      <c r="O473" t="s">
        <v>40</v>
      </c>
      <c r="P473" t="s">
        <v>23</v>
      </c>
      <c r="Q473" t="s">
        <v>42</v>
      </c>
      <c r="R473" s="18">
        <f t="shared" si="84"/>
        <v>237</v>
      </c>
      <c r="S473" s="18">
        <f t="shared" si="90"/>
        <v>238</v>
      </c>
      <c r="T473">
        <v>6.5000000000000002E-2</v>
      </c>
      <c r="U473">
        <v>0.61</v>
      </c>
    </row>
    <row r="474" spans="14:21" x14ac:dyDescent="0.3">
      <c r="N474">
        <v>443</v>
      </c>
      <c r="O474" t="s">
        <v>40</v>
      </c>
      <c r="P474" t="s">
        <v>23</v>
      </c>
      <c r="Q474" t="s">
        <v>42</v>
      </c>
      <c r="R474" s="18">
        <f t="shared" si="84"/>
        <v>238</v>
      </c>
      <c r="S474" s="18">
        <f t="shared" si="90"/>
        <v>239</v>
      </c>
      <c r="T474">
        <v>6.5000000000000002E-2</v>
      </c>
      <c r="U474">
        <v>0.61</v>
      </c>
    </row>
    <row r="475" spans="14:21" x14ac:dyDescent="0.3">
      <c r="N475">
        <v>444</v>
      </c>
      <c r="O475" t="s">
        <v>40</v>
      </c>
      <c r="P475" t="s">
        <v>23</v>
      </c>
      <c r="Q475" t="s">
        <v>42</v>
      </c>
      <c r="R475" s="18">
        <f t="shared" si="84"/>
        <v>239</v>
      </c>
      <c r="S475" s="18">
        <f t="shared" si="90"/>
        <v>240</v>
      </c>
      <c r="T475">
        <v>6.5000000000000002E-2</v>
      </c>
      <c r="U475">
        <v>0.61</v>
      </c>
    </row>
    <row r="476" spans="14:21" x14ac:dyDescent="0.3">
      <c r="N476">
        <v>445</v>
      </c>
      <c r="O476" t="s">
        <v>40</v>
      </c>
      <c r="P476" t="s">
        <v>23</v>
      </c>
      <c r="Q476" t="s">
        <v>42</v>
      </c>
      <c r="R476" s="18">
        <f t="shared" si="84"/>
        <v>240</v>
      </c>
      <c r="S476" s="18">
        <f t="shared" si="90"/>
        <v>241</v>
      </c>
      <c r="T476">
        <v>6.5000000000000002E-2</v>
      </c>
      <c r="U476">
        <v>0.61</v>
      </c>
    </row>
    <row r="477" spans="14:21" x14ac:dyDescent="0.3">
      <c r="N477">
        <v>446</v>
      </c>
      <c r="O477" t="s">
        <v>41</v>
      </c>
      <c r="P477" t="s">
        <v>23</v>
      </c>
      <c r="Q477" t="s">
        <v>42</v>
      </c>
      <c r="R477" s="18">
        <f t="shared" si="84"/>
        <v>241</v>
      </c>
      <c r="S477" s="18">
        <f>R477+1</f>
        <v>242</v>
      </c>
      <c r="T477">
        <v>8.7999999999999995E-2</v>
      </c>
      <c r="U477">
        <v>0.30299999999999999</v>
      </c>
    </row>
    <row r="478" spans="14:21" x14ac:dyDescent="0.3">
      <c r="N478">
        <v>447</v>
      </c>
      <c r="O478" t="s">
        <v>41</v>
      </c>
      <c r="P478" t="s">
        <v>23</v>
      </c>
      <c r="Q478" t="s">
        <v>42</v>
      </c>
      <c r="R478" s="18">
        <f t="shared" si="84"/>
        <v>242</v>
      </c>
      <c r="S478" s="18">
        <f>R478+1</f>
        <v>243</v>
      </c>
      <c r="T478">
        <v>8.7999999999999995E-2</v>
      </c>
      <c r="U478">
        <v>0.30299999999999999</v>
      </c>
    </row>
    <row r="479" spans="14:21" x14ac:dyDescent="0.3">
      <c r="N479">
        <v>448</v>
      </c>
      <c r="O479" t="s">
        <v>41</v>
      </c>
      <c r="P479" t="s">
        <v>23</v>
      </c>
      <c r="Q479" t="s">
        <v>42</v>
      </c>
      <c r="R479" s="18">
        <f t="shared" si="84"/>
        <v>243</v>
      </c>
      <c r="S479" s="18">
        <f>S469-9</f>
        <v>153</v>
      </c>
      <c r="T479">
        <v>8.7999999999999995E-2</v>
      </c>
      <c r="U479">
        <v>0.30299999999999999</v>
      </c>
    </row>
    <row r="480" spans="14:21" x14ac:dyDescent="0.3">
      <c r="N480">
        <v>449</v>
      </c>
      <c r="O480" t="s">
        <v>41</v>
      </c>
      <c r="P480" t="s">
        <v>23</v>
      </c>
      <c r="Q480" t="s">
        <v>42</v>
      </c>
      <c r="R480">
        <f>R470+9</f>
        <v>36</v>
      </c>
      <c r="S480">
        <f>S470+9</f>
        <v>244</v>
      </c>
      <c r="T480">
        <v>8.7999999999999995E-2</v>
      </c>
      <c r="U480">
        <v>0.30299999999999999</v>
      </c>
    </row>
    <row r="481" spans="14:21" x14ac:dyDescent="0.3">
      <c r="N481">
        <v>450</v>
      </c>
      <c r="O481" t="s">
        <v>41</v>
      </c>
      <c r="P481" t="s">
        <v>23</v>
      </c>
      <c r="Q481" t="s">
        <v>42</v>
      </c>
      <c r="R481">
        <f t="shared" si="84"/>
        <v>244</v>
      </c>
      <c r="S481">
        <f>R481+1</f>
        <v>245</v>
      </c>
      <c r="T481">
        <v>8.7999999999999995E-2</v>
      </c>
      <c r="U481">
        <v>0.30299999999999999</v>
      </c>
    </row>
    <row r="482" spans="14:21" x14ac:dyDescent="0.3">
      <c r="N482">
        <v>451</v>
      </c>
      <c r="O482" t="s">
        <v>41</v>
      </c>
      <c r="P482" t="s">
        <v>23</v>
      </c>
      <c r="Q482" t="s">
        <v>42</v>
      </c>
      <c r="R482">
        <f t="shared" si="84"/>
        <v>245</v>
      </c>
      <c r="S482">
        <f t="shared" ref="S482:S486" si="91">R482+1</f>
        <v>246</v>
      </c>
      <c r="T482">
        <v>8.7999999999999995E-2</v>
      </c>
      <c r="U482">
        <v>0.30299999999999999</v>
      </c>
    </row>
    <row r="483" spans="14:21" x14ac:dyDescent="0.3">
      <c r="N483">
        <v>452</v>
      </c>
      <c r="O483" t="s">
        <v>40</v>
      </c>
      <c r="P483" t="s">
        <v>23</v>
      </c>
      <c r="Q483" t="s">
        <v>42</v>
      </c>
      <c r="R483">
        <f t="shared" si="84"/>
        <v>246</v>
      </c>
      <c r="S483">
        <f t="shared" si="91"/>
        <v>247</v>
      </c>
      <c r="T483">
        <v>6.5000000000000002E-2</v>
      </c>
      <c r="U483">
        <v>0.61</v>
      </c>
    </row>
    <row r="484" spans="14:21" x14ac:dyDescent="0.3">
      <c r="N484">
        <v>453</v>
      </c>
      <c r="O484" t="s">
        <v>40</v>
      </c>
      <c r="P484" t="s">
        <v>23</v>
      </c>
      <c r="Q484" t="s">
        <v>42</v>
      </c>
      <c r="R484">
        <f t="shared" si="84"/>
        <v>247</v>
      </c>
      <c r="S484">
        <f t="shared" si="91"/>
        <v>248</v>
      </c>
      <c r="T484">
        <v>6.5000000000000002E-2</v>
      </c>
      <c r="U484">
        <v>0.61</v>
      </c>
    </row>
    <row r="485" spans="14:21" x14ac:dyDescent="0.3">
      <c r="N485">
        <v>454</v>
      </c>
      <c r="O485" t="s">
        <v>40</v>
      </c>
      <c r="P485" t="s">
        <v>23</v>
      </c>
      <c r="Q485" t="s">
        <v>42</v>
      </c>
      <c r="R485">
        <f t="shared" ref="R485:R499" si="92">S484</f>
        <v>248</v>
      </c>
      <c r="S485">
        <f t="shared" si="91"/>
        <v>249</v>
      </c>
      <c r="T485">
        <v>6.5000000000000002E-2</v>
      </c>
      <c r="U485">
        <v>0.61</v>
      </c>
    </row>
    <row r="486" spans="14:21" x14ac:dyDescent="0.3">
      <c r="N486">
        <v>455</v>
      </c>
      <c r="O486" t="s">
        <v>40</v>
      </c>
      <c r="P486" t="s">
        <v>23</v>
      </c>
      <c r="Q486" t="s">
        <v>42</v>
      </c>
      <c r="R486">
        <f t="shared" si="92"/>
        <v>249</v>
      </c>
      <c r="S486">
        <f t="shared" si="91"/>
        <v>250</v>
      </c>
      <c r="T486">
        <v>6.5000000000000002E-2</v>
      </c>
      <c r="U486">
        <v>0.61</v>
      </c>
    </row>
    <row r="487" spans="14:21" x14ac:dyDescent="0.3">
      <c r="N487">
        <v>456</v>
      </c>
      <c r="O487" t="s">
        <v>41</v>
      </c>
      <c r="P487" t="s">
        <v>23</v>
      </c>
      <c r="Q487" t="s">
        <v>42</v>
      </c>
      <c r="R487">
        <f t="shared" si="92"/>
        <v>250</v>
      </c>
      <c r="S487">
        <f>R487+1</f>
        <v>251</v>
      </c>
      <c r="T487">
        <v>8.7999999999999995E-2</v>
      </c>
      <c r="U487">
        <v>0.30299999999999999</v>
      </c>
    </row>
    <row r="488" spans="14:21" x14ac:dyDescent="0.3">
      <c r="N488">
        <v>457</v>
      </c>
      <c r="O488" t="s">
        <v>41</v>
      </c>
      <c r="P488" t="s">
        <v>23</v>
      </c>
      <c r="Q488" t="s">
        <v>42</v>
      </c>
      <c r="R488">
        <f t="shared" si="92"/>
        <v>251</v>
      </c>
      <c r="S488">
        <f>R488+1</f>
        <v>252</v>
      </c>
      <c r="T488">
        <v>8.7999999999999995E-2</v>
      </c>
      <c r="U488">
        <v>0.30299999999999999</v>
      </c>
    </row>
    <row r="489" spans="14:21" x14ac:dyDescent="0.3">
      <c r="N489">
        <v>458</v>
      </c>
      <c r="O489" t="s">
        <v>41</v>
      </c>
      <c r="P489" t="s">
        <v>23</v>
      </c>
      <c r="Q489" t="s">
        <v>42</v>
      </c>
      <c r="R489">
        <f t="shared" si="92"/>
        <v>252</v>
      </c>
      <c r="S489">
        <f>S479-9</f>
        <v>144</v>
      </c>
      <c r="T489">
        <v>8.7999999999999995E-2</v>
      </c>
      <c r="U489">
        <v>0.30299999999999999</v>
      </c>
    </row>
    <row r="490" spans="14:21" x14ac:dyDescent="0.3">
      <c r="N490">
        <v>459</v>
      </c>
      <c r="O490" t="s">
        <v>41</v>
      </c>
      <c r="P490" t="s">
        <v>23</v>
      </c>
      <c r="Q490" t="s">
        <v>42</v>
      </c>
      <c r="R490" s="18">
        <f>R480+9</f>
        <v>45</v>
      </c>
      <c r="S490" s="18">
        <f>S480+9</f>
        <v>253</v>
      </c>
      <c r="T490">
        <v>8.7999999999999995E-2</v>
      </c>
      <c r="U490">
        <v>0.30299999999999999</v>
      </c>
    </row>
    <row r="491" spans="14:21" x14ac:dyDescent="0.3">
      <c r="N491">
        <v>460</v>
      </c>
      <c r="O491" t="s">
        <v>41</v>
      </c>
      <c r="P491" t="s">
        <v>23</v>
      </c>
      <c r="Q491" t="s">
        <v>42</v>
      </c>
      <c r="R491" s="18">
        <f t="shared" si="92"/>
        <v>253</v>
      </c>
      <c r="S491" s="18">
        <f>R491+1</f>
        <v>254</v>
      </c>
      <c r="T491">
        <v>8.7999999999999995E-2</v>
      </c>
      <c r="U491">
        <v>0.30299999999999999</v>
      </c>
    </row>
    <row r="492" spans="14:21" x14ac:dyDescent="0.3">
      <c r="N492">
        <v>461</v>
      </c>
      <c r="O492" t="s">
        <v>41</v>
      </c>
      <c r="P492" t="s">
        <v>23</v>
      </c>
      <c r="Q492" t="s">
        <v>42</v>
      </c>
      <c r="R492" s="18">
        <f t="shared" si="92"/>
        <v>254</v>
      </c>
      <c r="S492" s="18">
        <f t="shared" ref="S492:S496" si="93">R492+1</f>
        <v>255</v>
      </c>
      <c r="T492">
        <v>8.7999999999999995E-2</v>
      </c>
      <c r="U492">
        <v>0.30299999999999999</v>
      </c>
    </row>
    <row r="493" spans="14:21" x14ac:dyDescent="0.3">
      <c r="N493">
        <v>462</v>
      </c>
      <c r="O493" t="s">
        <v>40</v>
      </c>
      <c r="P493" t="s">
        <v>23</v>
      </c>
      <c r="Q493" t="s">
        <v>42</v>
      </c>
      <c r="R493" s="18">
        <f t="shared" si="92"/>
        <v>255</v>
      </c>
      <c r="S493" s="18">
        <f t="shared" si="93"/>
        <v>256</v>
      </c>
      <c r="T493">
        <v>6.5000000000000002E-2</v>
      </c>
      <c r="U493">
        <v>0.61</v>
      </c>
    </row>
    <row r="494" spans="14:21" x14ac:dyDescent="0.3">
      <c r="N494">
        <v>463</v>
      </c>
      <c r="O494" t="s">
        <v>40</v>
      </c>
      <c r="P494" t="s">
        <v>23</v>
      </c>
      <c r="Q494" t="s">
        <v>42</v>
      </c>
      <c r="R494" s="18">
        <f t="shared" si="92"/>
        <v>256</v>
      </c>
      <c r="S494" s="18">
        <f t="shared" si="93"/>
        <v>257</v>
      </c>
      <c r="T494">
        <v>6.5000000000000002E-2</v>
      </c>
      <c r="U494">
        <v>0.61</v>
      </c>
    </row>
    <row r="495" spans="14:21" x14ac:dyDescent="0.3">
      <c r="N495">
        <v>464</v>
      </c>
      <c r="O495" t="s">
        <v>40</v>
      </c>
      <c r="P495" t="s">
        <v>23</v>
      </c>
      <c r="Q495" t="s">
        <v>42</v>
      </c>
      <c r="R495" s="18">
        <f t="shared" si="92"/>
        <v>257</v>
      </c>
      <c r="S495" s="18">
        <f t="shared" si="93"/>
        <v>258</v>
      </c>
      <c r="T495">
        <v>6.5000000000000002E-2</v>
      </c>
      <c r="U495">
        <v>0.61</v>
      </c>
    </row>
    <row r="496" spans="14:21" x14ac:dyDescent="0.3">
      <c r="N496">
        <v>465</v>
      </c>
      <c r="O496" t="s">
        <v>40</v>
      </c>
      <c r="P496" t="s">
        <v>23</v>
      </c>
      <c r="Q496" t="s">
        <v>42</v>
      </c>
      <c r="R496" s="18">
        <f t="shared" si="92"/>
        <v>258</v>
      </c>
      <c r="S496" s="18">
        <f t="shared" si="93"/>
        <v>259</v>
      </c>
      <c r="T496">
        <v>6.5000000000000002E-2</v>
      </c>
      <c r="U496">
        <v>0.61</v>
      </c>
    </row>
    <row r="497" spans="14:21" x14ac:dyDescent="0.3">
      <c r="N497">
        <v>466</v>
      </c>
      <c r="O497" t="s">
        <v>41</v>
      </c>
      <c r="P497" t="s">
        <v>23</v>
      </c>
      <c r="Q497" t="s">
        <v>42</v>
      </c>
      <c r="R497" s="18">
        <f t="shared" si="92"/>
        <v>259</v>
      </c>
      <c r="S497" s="18">
        <f>R497+1</f>
        <v>260</v>
      </c>
      <c r="T497">
        <v>8.7999999999999995E-2</v>
      </c>
      <c r="U497">
        <v>0.30299999999999999</v>
      </c>
    </row>
    <row r="498" spans="14:21" x14ac:dyDescent="0.3">
      <c r="N498">
        <v>467</v>
      </c>
      <c r="O498" t="s">
        <v>41</v>
      </c>
      <c r="P498" t="s">
        <v>23</v>
      </c>
      <c r="Q498" t="s">
        <v>42</v>
      </c>
      <c r="R498" s="18">
        <f t="shared" si="92"/>
        <v>260</v>
      </c>
      <c r="S498" s="18">
        <f>R498+1</f>
        <v>261</v>
      </c>
      <c r="T498">
        <v>8.7999999999999995E-2</v>
      </c>
      <c r="U498">
        <v>0.30299999999999999</v>
      </c>
    </row>
    <row r="499" spans="14:21" x14ac:dyDescent="0.3">
      <c r="N499">
        <v>468</v>
      </c>
      <c r="O499" t="s">
        <v>41</v>
      </c>
      <c r="P499" t="s">
        <v>23</v>
      </c>
      <c r="Q499" t="s">
        <v>42</v>
      </c>
      <c r="R499" s="18">
        <f t="shared" si="92"/>
        <v>261</v>
      </c>
      <c r="S499" s="18">
        <f>S489-9</f>
        <v>135</v>
      </c>
      <c r="T499">
        <v>8.7999999999999995E-2</v>
      </c>
      <c r="U499">
        <v>0.30299999999999999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22F3-D25D-480B-A167-0C5092A00B93}">
  <dimension ref="A1:F280"/>
  <sheetViews>
    <sheetView tabSelected="1" workbookViewId="0">
      <selection activeCell="D2" sqref="D2"/>
    </sheetView>
  </sheetViews>
  <sheetFormatPr defaultColWidth="11.5546875" defaultRowHeight="14.4" x14ac:dyDescent="0.3"/>
  <cols>
    <col min="5" max="5" width="32.109375" customWidth="1"/>
    <col min="6" max="6" width="22.21875" customWidth="1"/>
  </cols>
  <sheetData>
    <row r="1" spans="1:6" x14ac:dyDescent="0.3">
      <c r="A1" t="s">
        <v>9</v>
      </c>
      <c r="B1" t="s">
        <v>0</v>
      </c>
      <c r="C1" t="s">
        <v>1</v>
      </c>
      <c r="D1" t="s">
        <v>45</v>
      </c>
      <c r="E1" t="s">
        <v>43</v>
      </c>
      <c r="F1" t="s">
        <v>44</v>
      </c>
    </row>
    <row r="2" spans="1:6" x14ac:dyDescent="0.3">
      <c r="A2">
        <v>1</v>
      </c>
      <c r="B2">
        <v>-28.88</v>
      </c>
      <c r="C2">
        <v>-33.340000000000003</v>
      </c>
      <c r="D2">
        <v>1.3</v>
      </c>
      <c r="E2" t="b">
        <v>1</v>
      </c>
      <c r="F2" t="b">
        <v>1</v>
      </c>
    </row>
    <row r="3" spans="1:6" x14ac:dyDescent="0.3">
      <c r="A3">
        <v>2</v>
      </c>
      <c r="B3">
        <v>-21.66</v>
      </c>
      <c r="C3">
        <v>-33.340000000000003</v>
      </c>
      <c r="D3">
        <v>1.3</v>
      </c>
      <c r="E3" t="b">
        <v>0</v>
      </c>
      <c r="F3" t="b">
        <v>0</v>
      </c>
    </row>
    <row r="4" spans="1:6" x14ac:dyDescent="0.3">
      <c r="A4">
        <v>3</v>
      </c>
      <c r="B4">
        <v>-14.44</v>
      </c>
      <c r="C4">
        <v>-33.340000000000003</v>
      </c>
      <c r="D4">
        <v>1.3</v>
      </c>
      <c r="E4" t="b">
        <v>1</v>
      </c>
      <c r="F4" t="b">
        <v>0</v>
      </c>
    </row>
    <row r="5" spans="1:6" x14ac:dyDescent="0.3">
      <c r="A5">
        <v>4</v>
      </c>
      <c r="B5">
        <v>-7.22</v>
      </c>
      <c r="C5">
        <v>-33.340000000000003</v>
      </c>
      <c r="D5">
        <v>1.3</v>
      </c>
      <c r="E5" t="b">
        <v>1</v>
      </c>
      <c r="F5" t="b">
        <v>0</v>
      </c>
    </row>
    <row r="6" spans="1:6" x14ac:dyDescent="0.3">
      <c r="A6">
        <v>5</v>
      </c>
      <c r="B6">
        <v>0</v>
      </c>
      <c r="C6">
        <v>-33.340000000000003</v>
      </c>
      <c r="D6">
        <v>1.3</v>
      </c>
      <c r="E6" t="b">
        <v>1</v>
      </c>
      <c r="F6" t="b">
        <v>0</v>
      </c>
    </row>
    <row r="7" spans="1:6" x14ac:dyDescent="0.3">
      <c r="A7">
        <v>6</v>
      </c>
      <c r="B7">
        <v>7.22</v>
      </c>
      <c r="C7">
        <v>-33.340000000000003</v>
      </c>
      <c r="D7">
        <v>1.3</v>
      </c>
      <c r="E7" t="b">
        <v>1</v>
      </c>
      <c r="F7" t="b">
        <v>0</v>
      </c>
    </row>
    <row r="8" spans="1:6" x14ac:dyDescent="0.3">
      <c r="A8">
        <v>7</v>
      </c>
      <c r="B8">
        <v>14.44</v>
      </c>
      <c r="C8">
        <v>-33.340000000000003</v>
      </c>
      <c r="D8">
        <v>1.3</v>
      </c>
      <c r="E8" t="b">
        <v>1</v>
      </c>
      <c r="F8" t="b">
        <v>0</v>
      </c>
    </row>
    <row r="9" spans="1:6" x14ac:dyDescent="0.3">
      <c r="A9">
        <v>8</v>
      </c>
      <c r="B9">
        <v>21.66</v>
      </c>
      <c r="C9">
        <v>-33.340000000000003</v>
      </c>
      <c r="D9">
        <v>1.3</v>
      </c>
      <c r="E9" t="b">
        <v>1</v>
      </c>
      <c r="F9" t="b">
        <v>0</v>
      </c>
    </row>
    <row r="10" spans="1:6" x14ac:dyDescent="0.3">
      <c r="A10">
        <v>9</v>
      </c>
      <c r="B10">
        <v>28.88</v>
      </c>
      <c r="C10">
        <v>-33.340000000000003</v>
      </c>
      <c r="D10">
        <v>1.3</v>
      </c>
      <c r="E10" t="b">
        <v>1</v>
      </c>
      <c r="F10" t="b">
        <v>0</v>
      </c>
    </row>
    <row r="11" spans="1:6" x14ac:dyDescent="0.3">
      <c r="A11">
        <v>10</v>
      </c>
      <c r="B11">
        <v>-28.88</v>
      </c>
      <c r="C11">
        <v>-30.23</v>
      </c>
      <c r="D11">
        <v>2</v>
      </c>
      <c r="E11" t="b">
        <v>1</v>
      </c>
      <c r="F11" t="b">
        <v>0</v>
      </c>
    </row>
    <row r="12" spans="1:6" x14ac:dyDescent="0.3">
      <c r="A12">
        <v>11</v>
      </c>
      <c r="B12">
        <v>-21.66</v>
      </c>
      <c r="C12">
        <v>-30.23</v>
      </c>
      <c r="D12">
        <v>2.1</v>
      </c>
      <c r="E12" t="b">
        <v>1</v>
      </c>
      <c r="F12" t="b">
        <v>0</v>
      </c>
    </row>
    <row r="13" spans="1:6" x14ac:dyDescent="0.3">
      <c r="A13">
        <v>12</v>
      </c>
      <c r="B13">
        <v>-14.44</v>
      </c>
      <c r="C13">
        <v>-30.23</v>
      </c>
      <c r="D13">
        <v>2.15</v>
      </c>
      <c r="E13" t="b">
        <v>1</v>
      </c>
      <c r="F13" t="b">
        <v>0</v>
      </c>
    </row>
    <row r="14" spans="1:6" x14ac:dyDescent="0.3">
      <c r="A14">
        <v>13</v>
      </c>
      <c r="B14">
        <v>-7.22</v>
      </c>
      <c r="C14">
        <v>-30.23</v>
      </c>
      <c r="D14">
        <v>2.1880000000000002</v>
      </c>
      <c r="E14" t="b">
        <v>1</v>
      </c>
      <c r="F14" t="b">
        <v>0</v>
      </c>
    </row>
    <row r="15" spans="1:6" x14ac:dyDescent="0.3">
      <c r="A15">
        <v>14</v>
      </c>
      <c r="B15">
        <v>0</v>
      </c>
      <c r="C15">
        <v>-30.23</v>
      </c>
      <c r="D15">
        <v>2.2000000000000002</v>
      </c>
      <c r="E15" t="b">
        <v>1</v>
      </c>
      <c r="F15" t="b">
        <v>0</v>
      </c>
    </row>
    <row r="16" spans="1:6" x14ac:dyDescent="0.3">
      <c r="A16">
        <v>15</v>
      </c>
      <c r="B16">
        <v>7.22</v>
      </c>
      <c r="C16">
        <v>-30.23</v>
      </c>
      <c r="D16">
        <v>2.1880000000000002</v>
      </c>
      <c r="E16" t="b">
        <v>1</v>
      </c>
      <c r="F16" t="b">
        <v>0</v>
      </c>
    </row>
    <row r="17" spans="1:6" x14ac:dyDescent="0.3">
      <c r="A17">
        <v>16</v>
      </c>
      <c r="B17">
        <v>14.44</v>
      </c>
      <c r="C17">
        <v>-30.23</v>
      </c>
      <c r="D17">
        <v>2.15</v>
      </c>
      <c r="E17" t="b">
        <v>1</v>
      </c>
      <c r="F17" t="b">
        <v>0</v>
      </c>
    </row>
    <row r="18" spans="1:6" x14ac:dyDescent="0.3">
      <c r="A18">
        <v>17</v>
      </c>
      <c r="B18">
        <v>21.66</v>
      </c>
      <c r="C18">
        <v>-30.23</v>
      </c>
      <c r="D18">
        <v>2.1</v>
      </c>
      <c r="E18" t="b">
        <v>1</v>
      </c>
      <c r="F18" t="b">
        <v>0</v>
      </c>
    </row>
    <row r="19" spans="1:6" x14ac:dyDescent="0.3">
      <c r="A19">
        <v>18</v>
      </c>
      <c r="B19">
        <v>28.88</v>
      </c>
      <c r="C19">
        <v>-30.23</v>
      </c>
      <c r="D19">
        <v>2</v>
      </c>
      <c r="E19" t="b">
        <v>1</v>
      </c>
      <c r="F19" t="b">
        <v>0</v>
      </c>
    </row>
    <row r="20" spans="1:6" x14ac:dyDescent="0.3">
      <c r="A20">
        <v>19</v>
      </c>
      <c r="B20">
        <v>-28.88</v>
      </c>
      <c r="C20">
        <v>-27.12</v>
      </c>
      <c r="D20">
        <v>2.613</v>
      </c>
      <c r="E20" t="b">
        <v>1</v>
      </c>
      <c r="F20" t="b">
        <v>0</v>
      </c>
    </row>
    <row r="21" spans="1:6" x14ac:dyDescent="0.3">
      <c r="A21">
        <v>20</v>
      </c>
      <c r="B21">
        <v>-21.66</v>
      </c>
      <c r="C21">
        <v>-27.12</v>
      </c>
      <c r="D21">
        <v>2.8</v>
      </c>
      <c r="E21" t="b">
        <v>1</v>
      </c>
      <c r="F21" t="b">
        <v>0</v>
      </c>
    </row>
    <row r="22" spans="1:6" x14ac:dyDescent="0.3">
      <c r="A22">
        <v>21</v>
      </c>
      <c r="B22">
        <v>-14.44</v>
      </c>
      <c r="C22">
        <v>-27.12</v>
      </c>
      <c r="D22">
        <v>2.9</v>
      </c>
      <c r="E22" t="b">
        <v>1</v>
      </c>
      <c r="F22" t="b">
        <v>0</v>
      </c>
    </row>
    <row r="23" spans="1:6" x14ac:dyDescent="0.3">
      <c r="A23">
        <v>22</v>
      </c>
      <c r="B23">
        <v>-7.22</v>
      </c>
      <c r="C23">
        <v>-27.12</v>
      </c>
      <c r="D23">
        <v>2.9750000000000001</v>
      </c>
      <c r="E23" t="b">
        <v>1</v>
      </c>
      <c r="F23" t="b">
        <v>0</v>
      </c>
    </row>
    <row r="24" spans="1:6" x14ac:dyDescent="0.3">
      <c r="A24">
        <v>23</v>
      </c>
      <c r="B24">
        <v>0</v>
      </c>
      <c r="C24">
        <v>-27.12</v>
      </c>
      <c r="D24">
        <v>3</v>
      </c>
      <c r="E24" t="b">
        <v>1</v>
      </c>
      <c r="F24" t="b">
        <v>0</v>
      </c>
    </row>
    <row r="25" spans="1:6" x14ac:dyDescent="0.3">
      <c r="A25">
        <v>24</v>
      </c>
      <c r="B25">
        <v>7.22</v>
      </c>
      <c r="C25">
        <v>-27.12</v>
      </c>
      <c r="D25">
        <v>2.9750000000000001</v>
      </c>
      <c r="E25" t="b">
        <v>1</v>
      </c>
      <c r="F25" t="b">
        <v>0</v>
      </c>
    </row>
    <row r="26" spans="1:6" x14ac:dyDescent="0.3">
      <c r="A26">
        <v>25</v>
      </c>
      <c r="B26">
        <v>14.44</v>
      </c>
      <c r="C26">
        <v>-27.12</v>
      </c>
      <c r="D26">
        <v>2.9</v>
      </c>
      <c r="E26" t="b">
        <v>1</v>
      </c>
      <c r="F26" t="b">
        <v>0</v>
      </c>
    </row>
    <row r="27" spans="1:6" x14ac:dyDescent="0.3">
      <c r="A27">
        <v>26</v>
      </c>
      <c r="B27">
        <v>21.66</v>
      </c>
      <c r="C27">
        <v>-27.12</v>
      </c>
      <c r="D27">
        <v>2.8</v>
      </c>
      <c r="E27" t="b">
        <v>1</v>
      </c>
      <c r="F27" t="b">
        <v>0</v>
      </c>
    </row>
    <row r="28" spans="1:6" x14ac:dyDescent="0.3">
      <c r="A28">
        <v>27</v>
      </c>
      <c r="B28">
        <v>28.88</v>
      </c>
      <c r="C28">
        <v>-27.12</v>
      </c>
      <c r="D28">
        <v>2.613</v>
      </c>
      <c r="E28" t="b">
        <v>1</v>
      </c>
      <c r="F28" t="b">
        <v>0</v>
      </c>
    </row>
    <row r="29" spans="1:6" x14ac:dyDescent="0.3">
      <c r="A29">
        <v>10</v>
      </c>
      <c r="B29">
        <v>-28.88</v>
      </c>
      <c r="C29">
        <v>-24.01</v>
      </c>
      <c r="D29">
        <v>3.0939999999999999</v>
      </c>
      <c r="E29" t="b">
        <v>1</v>
      </c>
      <c r="F29" t="b">
        <v>0</v>
      </c>
    </row>
    <row r="30" spans="1:6" x14ac:dyDescent="0.3">
      <c r="A30">
        <v>11</v>
      </c>
      <c r="B30">
        <v>-21.66</v>
      </c>
      <c r="C30">
        <v>-24.01</v>
      </c>
      <c r="D30">
        <v>3.35</v>
      </c>
      <c r="E30" t="b">
        <v>1</v>
      </c>
      <c r="F30" t="b">
        <v>0</v>
      </c>
    </row>
    <row r="31" spans="1:6" x14ac:dyDescent="0.3">
      <c r="A31">
        <v>12</v>
      </c>
      <c r="B31">
        <v>-14.44</v>
      </c>
      <c r="C31">
        <v>-24.01</v>
      </c>
      <c r="D31">
        <v>3.5</v>
      </c>
      <c r="E31" t="b">
        <v>1</v>
      </c>
      <c r="F31" t="b">
        <v>0</v>
      </c>
    </row>
    <row r="32" spans="1:6" x14ac:dyDescent="0.3">
      <c r="A32">
        <v>13</v>
      </c>
      <c r="B32">
        <v>-7.22</v>
      </c>
      <c r="C32">
        <v>-24.01</v>
      </c>
      <c r="D32">
        <v>3.613</v>
      </c>
      <c r="E32" t="b">
        <v>1</v>
      </c>
      <c r="F32" t="b">
        <v>0</v>
      </c>
    </row>
    <row r="33" spans="1:6" x14ac:dyDescent="0.3">
      <c r="A33">
        <v>14</v>
      </c>
      <c r="B33">
        <v>0</v>
      </c>
      <c r="C33">
        <v>-24.01</v>
      </c>
      <c r="D33">
        <v>3.65</v>
      </c>
      <c r="E33" t="b">
        <v>1</v>
      </c>
      <c r="F33" t="b">
        <v>0</v>
      </c>
    </row>
    <row r="34" spans="1:6" x14ac:dyDescent="0.3">
      <c r="A34">
        <v>15</v>
      </c>
      <c r="B34">
        <v>7.22</v>
      </c>
      <c r="C34">
        <v>-24.01</v>
      </c>
      <c r="D34">
        <v>3.613</v>
      </c>
      <c r="E34" t="b">
        <v>1</v>
      </c>
      <c r="F34" t="b">
        <v>0</v>
      </c>
    </row>
    <row r="35" spans="1:6" x14ac:dyDescent="0.3">
      <c r="A35">
        <v>16</v>
      </c>
      <c r="B35">
        <v>14.44</v>
      </c>
      <c r="C35">
        <v>-24.01</v>
      </c>
      <c r="D35">
        <v>3.5</v>
      </c>
      <c r="E35" t="b">
        <v>1</v>
      </c>
      <c r="F35" t="b">
        <v>0</v>
      </c>
    </row>
    <row r="36" spans="1:6" x14ac:dyDescent="0.3">
      <c r="A36">
        <v>17</v>
      </c>
      <c r="B36">
        <v>21.66</v>
      </c>
      <c r="C36">
        <v>-24.01</v>
      </c>
      <c r="D36">
        <v>3.35</v>
      </c>
      <c r="E36" t="b">
        <v>1</v>
      </c>
      <c r="F36" t="b">
        <v>0</v>
      </c>
    </row>
    <row r="37" spans="1:6" x14ac:dyDescent="0.3">
      <c r="A37">
        <v>18</v>
      </c>
      <c r="B37">
        <v>28.88</v>
      </c>
      <c r="C37">
        <v>-24.01</v>
      </c>
      <c r="D37">
        <v>3.0939999999999999</v>
      </c>
      <c r="E37" t="b">
        <v>1</v>
      </c>
      <c r="F37" t="b">
        <v>0</v>
      </c>
    </row>
    <row r="38" spans="1:6" x14ac:dyDescent="0.3">
      <c r="A38">
        <v>19</v>
      </c>
      <c r="B38">
        <v>-28.88</v>
      </c>
      <c r="C38">
        <v>-20.9</v>
      </c>
      <c r="D38">
        <v>3.488</v>
      </c>
      <c r="E38" t="b">
        <v>1</v>
      </c>
      <c r="F38" t="b">
        <v>0</v>
      </c>
    </row>
    <row r="39" spans="1:6" x14ac:dyDescent="0.3">
      <c r="A39">
        <v>20</v>
      </c>
      <c r="B39">
        <v>-21.66</v>
      </c>
      <c r="C39">
        <v>-20.9</v>
      </c>
      <c r="D39">
        <v>3.8</v>
      </c>
      <c r="E39" t="b">
        <v>1</v>
      </c>
      <c r="F39" t="b">
        <v>0</v>
      </c>
    </row>
    <row r="40" spans="1:6" x14ac:dyDescent="0.3">
      <c r="A40">
        <v>21</v>
      </c>
      <c r="B40">
        <v>-14.44</v>
      </c>
      <c r="C40">
        <v>-20.9</v>
      </c>
      <c r="D40">
        <v>4</v>
      </c>
      <c r="E40" t="b">
        <v>1</v>
      </c>
      <c r="F40" t="b">
        <v>0</v>
      </c>
    </row>
    <row r="41" spans="1:6" x14ac:dyDescent="0.3">
      <c r="A41">
        <v>22</v>
      </c>
      <c r="B41">
        <v>-7.22</v>
      </c>
      <c r="C41">
        <v>-20.9</v>
      </c>
      <c r="D41">
        <v>4.1500000000000004</v>
      </c>
      <c r="E41" t="b">
        <v>1</v>
      </c>
      <c r="F41" t="b">
        <v>0</v>
      </c>
    </row>
    <row r="42" spans="1:6" x14ac:dyDescent="0.3">
      <c r="A42">
        <v>23</v>
      </c>
      <c r="B42">
        <v>0</v>
      </c>
      <c r="C42">
        <v>-20.9</v>
      </c>
      <c r="D42">
        <v>4.2</v>
      </c>
      <c r="E42" t="b">
        <v>1</v>
      </c>
      <c r="F42" t="b">
        <v>0</v>
      </c>
    </row>
    <row r="43" spans="1:6" x14ac:dyDescent="0.3">
      <c r="A43">
        <v>24</v>
      </c>
      <c r="B43">
        <v>7.22</v>
      </c>
      <c r="C43">
        <v>-20.9</v>
      </c>
      <c r="D43">
        <v>4.1500000000000004</v>
      </c>
      <c r="E43" t="b">
        <v>1</v>
      </c>
      <c r="F43" t="b">
        <v>0</v>
      </c>
    </row>
    <row r="44" spans="1:6" x14ac:dyDescent="0.3">
      <c r="A44">
        <v>25</v>
      </c>
      <c r="B44">
        <v>14.44</v>
      </c>
      <c r="C44">
        <v>-20.9</v>
      </c>
      <c r="D44">
        <v>4</v>
      </c>
      <c r="E44" t="b">
        <v>1</v>
      </c>
      <c r="F44" t="b">
        <v>0</v>
      </c>
    </row>
    <row r="45" spans="1:6" x14ac:dyDescent="0.3">
      <c r="A45">
        <v>26</v>
      </c>
      <c r="B45">
        <v>21.66</v>
      </c>
      <c r="C45">
        <v>-20.9</v>
      </c>
      <c r="D45">
        <v>3.8</v>
      </c>
      <c r="E45" t="b">
        <v>1</v>
      </c>
      <c r="F45" t="b">
        <v>0</v>
      </c>
    </row>
    <row r="46" spans="1:6" x14ac:dyDescent="0.3">
      <c r="A46">
        <v>27</v>
      </c>
      <c r="B46">
        <v>28.88</v>
      </c>
      <c r="C46">
        <v>-20.9</v>
      </c>
      <c r="D46">
        <v>3.488</v>
      </c>
      <c r="E46" t="b">
        <v>1</v>
      </c>
      <c r="F46" t="b">
        <v>0</v>
      </c>
    </row>
    <row r="47" spans="1:6" x14ac:dyDescent="0.3">
      <c r="A47">
        <v>28</v>
      </c>
      <c r="B47">
        <v>-28.88</v>
      </c>
      <c r="C47">
        <v>-17.79</v>
      </c>
      <c r="D47">
        <v>3.794</v>
      </c>
      <c r="E47" t="b">
        <v>1</v>
      </c>
      <c r="F47" t="b">
        <v>0</v>
      </c>
    </row>
    <row r="48" spans="1:6" x14ac:dyDescent="0.3">
      <c r="A48">
        <v>29</v>
      </c>
      <c r="B48">
        <v>-21.66</v>
      </c>
      <c r="C48">
        <v>-17.79</v>
      </c>
      <c r="D48">
        <v>4.1500000000000004</v>
      </c>
      <c r="E48" t="b">
        <v>1</v>
      </c>
      <c r="F48" t="b">
        <v>0</v>
      </c>
    </row>
    <row r="49" spans="1:6" x14ac:dyDescent="0.3">
      <c r="A49">
        <v>30</v>
      </c>
      <c r="B49">
        <v>-14.44</v>
      </c>
      <c r="C49">
        <v>-17.79</v>
      </c>
      <c r="D49">
        <v>4.4000000000000004</v>
      </c>
      <c r="E49" t="b">
        <v>1</v>
      </c>
      <c r="F49" t="b">
        <v>0</v>
      </c>
    </row>
    <row r="50" spans="1:6" x14ac:dyDescent="0.3">
      <c r="A50">
        <v>31</v>
      </c>
      <c r="B50">
        <v>-7.22</v>
      </c>
      <c r="C50">
        <v>-17.79</v>
      </c>
      <c r="D50">
        <v>4.5880000000000001</v>
      </c>
      <c r="E50" t="b">
        <v>1</v>
      </c>
      <c r="F50" t="b">
        <v>0</v>
      </c>
    </row>
    <row r="51" spans="1:6" x14ac:dyDescent="0.3">
      <c r="A51">
        <v>32</v>
      </c>
      <c r="B51">
        <v>0</v>
      </c>
      <c r="C51">
        <v>-17.79</v>
      </c>
      <c r="D51">
        <v>4.6500000000000004</v>
      </c>
      <c r="E51" t="b">
        <v>1</v>
      </c>
      <c r="F51" t="b">
        <v>0</v>
      </c>
    </row>
    <row r="52" spans="1:6" x14ac:dyDescent="0.3">
      <c r="A52">
        <v>33</v>
      </c>
      <c r="B52">
        <v>7.22</v>
      </c>
      <c r="C52">
        <v>-17.79</v>
      </c>
      <c r="D52">
        <v>4.5880000000000001</v>
      </c>
      <c r="E52" t="b">
        <v>1</v>
      </c>
      <c r="F52" t="b">
        <v>0</v>
      </c>
    </row>
    <row r="53" spans="1:6" x14ac:dyDescent="0.3">
      <c r="A53">
        <v>34</v>
      </c>
      <c r="B53">
        <v>14.44</v>
      </c>
      <c r="C53">
        <v>-17.79</v>
      </c>
      <c r="D53">
        <v>4.4000000000000004</v>
      </c>
      <c r="E53" t="b">
        <v>1</v>
      </c>
      <c r="F53" t="b">
        <v>0</v>
      </c>
    </row>
    <row r="54" spans="1:6" x14ac:dyDescent="0.3">
      <c r="A54">
        <v>35</v>
      </c>
      <c r="B54">
        <v>21.66</v>
      </c>
      <c r="C54">
        <v>-17.79</v>
      </c>
      <c r="D54">
        <v>4.1500000000000004</v>
      </c>
      <c r="E54" t="b">
        <v>1</v>
      </c>
      <c r="F54" t="b">
        <v>0</v>
      </c>
    </row>
    <row r="55" spans="1:6" x14ac:dyDescent="0.3">
      <c r="A55">
        <v>36</v>
      </c>
      <c r="B55">
        <v>28.88</v>
      </c>
      <c r="C55">
        <v>-17.79</v>
      </c>
      <c r="D55">
        <v>3.794</v>
      </c>
      <c r="E55" t="b">
        <v>1</v>
      </c>
      <c r="F55" t="b">
        <v>0</v>
      </c>
    </row>
    <row r="56" spans="1:6" x14ac:dyDescent="0.3">
      <c r="A56">
        <v>37</v>
      </c>
      <c r="B56">
        <v>-28.88</v>
      </c>
      <c r="C56">
        <v>-14.68</v>
      </c>
      <c r="D56">
        <v>4.0999999999999996</v>
      </c>
      <c r="E56" t="b">
        <v>1</v>
      </c>
      <c r="F56" t="b">
        <v>0</v>
      </c>
    </row>
    <row r="57" spans="1:6" x14ac:dyDescent="0.3">
      <c r="A57">
        <v>38</v>
      </c>
      <c r="B57">
        <v>-21.66</v>
      </c>
      <c r="C57">
        <v>-14.68</v>
      </c>
      <c r="D57">
        <v>4.4610000000000003</v>
      </c>
      <c r="E57" t="b">
        <v>1</v>
      </c>
      <c r="F57" t="b">
        <v>0</v>
      </c>
    </row>
    <row r="58" spans="1:6" x14ac:dyDescent="0.3">
      <c r="A58">
        <v>39</v>
      </c>
      <c r="B58">
        <v>-14.44</v>
      </c>
      <c r="C58">
        <v>-14.68</v>
      </c>
      <c r="D58">
        <v>4.8099999999999996</v>
      </c>
      <c r="E58" t="b">
        <v>1</v>
      </c>
      <c r="F58" t="b">
        <v>0</v>
      </c>
    </row>
    <row r="59" spans="1:6" x14ac:dyDescent="0.3">
      <c r="A59">
        <v>40</v>
      </c>
      <c r="B59">
        <v>-7.22</v>
      </c>
      <c r="C59">
        <v>-14.68</v>
      </c>
      <c r="D59">
        <v>5.0190000000000001</v>
      </c>
      <c r="E59" t="b">
        <v>1</v>
      </c>
      <c r="F59" t="b">
        <v>0</v>
      </c>
    </row>
    <row r="60" spans="1:6" x14ac:dyDescent="0.3">
      <c r="A60">
        <v>41</v>
      </c>
      <c r="B60">
        <v>0</v>
      </c>
      <c r="C60">
        <v>-14.68</v>
      </c>
      <c r="D60">
        <v>5.0890000000000004</v>
      </c>
      <c r="E60" t="b">
        <v>1</v>
      </c>
      <c r="F60" t="b">
        <v>0</v>
      </c>
    </row>
    <row r="61" spans="1:6" x14ac:dyDescent="0.3">
      <c r="A61">
        <v>42</v>
      </c>
      <c r="B61">
        <v>7.22</v>
      </c>
      <c r="C61">
        <v>-14.68</v>
      </c>
      <c r="D61">
        <v>5.0190000000000001</v>
      </c>
      <c r="E61" t="b">
        <v>1</v>
      </c>
      <c r="F61" t="b">
        <v>0</v>
      </c>
    </row>
    <row r="62" spans="1:6" x14ac:dyDescent="0.3">
      <c r="A62">
        <v>43</v>
      </c>
      <c r="B62">
        <v>14.44</v>
      </c>
      <c r="C62">
        <v>-14.68</v>
      </c>
      <c r="D62">
        <v>4.8099999999999996</v>
      </c>
      <c r="E62" t="b">
        <v>1</v>
      </c>
      <c r="F62" t="b">
        <v>0</v>
      </c>
    </row>
    <row r="63" spans="1:6" x14ac:dyDescent="0.3">
      <c r="A63">
        <v>44</v>
      </c>
      <c r="B63">
        <v>21.66</v>
      </c>
      <c r="C63">
        <v>-14.68</v>
      </c>
      <c r="D63">
        <v>4.4610000000000003</v>
      </c>
      <c r="E63" t="b">
        <v>1</v>
      </c>
      <c r="F63" t="b">
        <v>0</v>
      </c>
    </row>
    <row r="64" spans="1:6" x14ac:dyDescent="0.3">
      <c r="A64">
        <v>45</v>
      </c>
      <c r="B64">
        <v>28.88</v>
      </c>
      <c r="C64">
        <v>-14.68</v>
      </c>
      <c r="D64">
        <v>4.0999999999999996</v>
      </c>
      <c r="E64" t="b">
        <v>1</v>
      </c>
      <c r="F64" t="b">
        <v>0</v>
      </c>
    </row>
    <row r="65" spans="1:6" x14ac:dyDescent="0.3">
      <c r="A65">
        <v>46</v>
      </c>
      <c r="B65">
        <v>-28.88</v>
      </c>
      <c r="C65">
        <v>-11.07</v>
      </c>
      <c r="D65">
        <v>4.2649999999999997</v>
      </c>
      <c r="E65" t="b">
        <v>1</v>
      </c>
      <c r="F65" t="b">
        <v>0</v>
      </c>
    </row>
    <row r="66" spans="1:6" x14ac:dyDescent="0.3">
      <c r="A66">
        <v>47</v>
      </c>
      <c r="B66">
        <v>-21.66</v>
      </c>
      <c r="C66">
        <v>-11.07</v>
      </c>
      <c r="D66">
        <v>4.6890000000000001</v>
      </c>
      <c r="E66" t="b">
        <v>1</v>
      </c>
      <c r="F66" t="b">
        <v>0</v>
      </c>
    </row>
    <row r="67" spans="1:6" x14ac:dyDescent="0.3">
      <c r="A67">
        <v>48</v>
      </c>
      <c r="B67">
        <v>-14.44</v>
      </c>
      <c r="C67">
        <v>-11.07</v>
      </c>
      <c r="D67">
        <v>5.1219999999999999</v>
      </c>
      <c r="E67" t="b">
        <v>1</v>
      </c>
      <c r="F67" t="b">
        <v>0</v>
      </c>
    </row>
    <row r="68" spans="1:6" x14ac:dyDescent="0.3">
      <c r="A68">
        <v>49</v>
      </c>
      <c r="B68">
        <v>-7.22</v>
      </c>
      <c r="C68">
        <v>-11.07</v>
      </c>
      <c r="D68">
        <v>5.4470000000000001</v>
      </c>
      <c r="E68" t="b">
        <v>1</v>
      </c>
      <c r="F68" t="b">
        <v>0</v>
      </c>
    </row>
    <row r="69" spans="1:6" x14ac:dyDescent="0.3">
      <c r="A69">
        <v>50</v>
      </c>
      <c r="B69">
        <v>0</v>
      </c>
      <c r="C69">
        <v>-11.07</v>
      </c>
      <c r="D69">
        <v>5.5549999999999997</v>
      </c>
      <c r="E69" t="b">
        <v>1</v>
      </c>
      <c r="F69" t="b">
        <v>0</v>
      </c>
    </row>
    <row r="70" spans="1:6" x14ac:dyDescent="0.3">
      <c r="A70">
        <v>51</v>
      </c>
      <c r="B70">
        <v>7.22</v>
      </c>
      <c r="C70">
        <v>-11.07</v>
      </c>
      <c r="D70">
        <v>5.4470000000000001</v>
      </c>
      <c r="E70" t="b">
        <v>1</v>
      </c>
      <c r="F70" t="b">
        <v>0</v>
      </c>
    </row>
    <row r="71" spans="1:6" x14ac:dyDescent="0.3">
      <c r="A71">
        <v>52</v>
      </c>
      <c r="B71">
        <v>14.44</v>
      </c>
      <c r="C71">
        <v>-11.07</v>
      </c>
      <c r="D71">
        <v>5.1219999999999999</v>
      </c>
      <c r="E71" t="b">
        <v>1</v>
      </c>
      <c r="F71" t="b">
        <v>0</v>
      </c>
    </row>
    <row r="72" spans="1:6" x14ac:dyDescent="0.3">
      <c r="A72">
        <v>53</v>
      </c>
      <c r="B72">
        <v>21.66</v>
      </c>
      <c r="C72">
        <v>-11.07</v>
      </c>
      <c r="D72">
        <v>4.6890000000000001</v>
      </c>
      <c r="E72" t="b">
        <v>1</v>
      </c>
      <c r="F72" t="b">
        <v>0</v>
      </c>
    </row>
    <row r="73" spans="1:6" x14ac:dyDescent="0.3">
      <c r="A73">
        <v>54</v>
      </c>
      <c r="B73">
        <v>28.88</v>
      </c>
      <c r="C73">
        <v>-11.07</v>
      </c>
      <c r="D73">
        <v>4.2649999999999997</v>
      </c>
      <c r="E73" t="b">
        <v>1</v>
      </c>
      <c r="F73" t="b">
        <v>0</v>
      </c>
    </row>
    <row r="74" spans="1:6" x14ac:dyDescent="0.3">
      <c r="A74">
        <v>55</v>
      </c>
      <c r="B74">
        <v>-28.88</v>
      </c>
      <c r="C74">
        <v>-7.46</v>
      </c>
      <c r="D74">
        <v>4.4089999999999998</v>
      </c>
      <c r="E74" t="b">
        <v>1</v>
      </c>
      <c r="F74" t="b">
        <v>0</v>
      </c>
    </row>
    <row r="75" spans="1:6" x14ac:dyDescent="0.3">
      <c r="A75">
        <v>56</v>
      </c>
      <c r="B75">
        <v>-21.66</v>
      </c>
      <c r="C75">
        <v>-7.46</v>
      </c>
      <c r="D75">
        <v>4.8529999999999998</v>
      </c>
      <c r="E75" t="b">
        <v>1</v>
      </c>
      <c r="F75" t="b">
        <v>0</v>
      </c>
    </row>
    <row r="76" spans="1:6" x14ac:dyDescent="0.3">
      <c r="A76">
        <v>57</v>
      </c>
      <c r="B76">
        <v>-14.44</v>
      </c>
      <c r="C76">
        <v>-7.46</v>
      </c>
      <c r="D76">
        <v>5.3710000000000004</v>
      </c>
      <c r="E76" t="b">
        <v>1</v>
      </c>
      <c r="F76" t="b">
        <v>0</v>
      </c>
    </row>
    <row r="77" spans="1:6" x14ac:dyDescent="0.3">
      <c r="A77">
        <v>58</v>
      </c>
      <c r="B77">
        <v>-7.22</v>
      </c>
      <c r="C77">
        <v>-7.46</v>
      </c>
      <c r="D77">
        <v>5.7590000000000003</v>
      </c>
      <c r="E77" t="b">
        <v>1</v>
      </c>
      <c r="F77" t="b">
        <v>0</v>
      </c>
    </row>
    <row r="78" spans="1:6" x14ac:dyDescent="0.3">
      <c r="A78">
        <v>59</v>
      </c>
      <c r="B78">
        <v>0</v>
      </c>
      <c r="C78">
        <v>-7.46</v>
      </c>
      <c r="D78">
        <v>5.8879999999999999</v>
      </c>
      <c r="E78" t="b">
        <v>1</v>
      </c>
      <c r="F78" t="b">
        <v>0</v>
      </c>
    </row>
    <row r="79" spans="1:6" x14ac:dyDescent="0.3">
      <c r="A79">
        <v>60</v>
      </c>
      <c r="B79">
        <v>7.22</v>
      </c>
      <c r="C79">
        <v>-7.46</v>
      </c>
      <c r="D79">
        <v>5.7590000000000003</v>
      </c>
      <c r="E79" t="b">
        <v>1</v>
      </c>
      <c r="F79" t="b">
        <v>0</v>
      </c>
    </row>
    <row r="80" spans="1:6" x14ac:dyDescent="0.3">
      <c r="A80">
        <v>61</v>
      </c>
      <c r="B80">
        <v>14.44</v>
      </c>
      <c r="C80">
        <v>-7.46</v>
      </c>
      <c r="D80">
        <v>5.3710000000000004</v>
      </c>
      <c r="E80" t="b">
        <v>1</v>
      </c>
      <c r="F80" t="b">
        <v>0</v>
      </c>
    </row>
    <row r="81" spans="1:6" x14ac:dyDescent="0.3">
      <c r="A81">
        <v>62</v>
      </c>
      <c r="B81">
        <v>21.66</v>
      </c>
      <c r="C81">
        <v>-7.46</v>
      </c>
      <c r="D81">
        <v>4.8529999999999998</v>
      </c>
      <c r="E81" t="b">
        <v>1</v>
      </c>
      <c r="F81" t="b">
        <v>0</v>
      </c>
    </row>
    <row r="82" spans="1:6" x14ac:dyDescent="0.3">
      <c r="A82">
        <v>63</v>
      </c>
      <c r="B82">
        <v>28.88</v>
      </c>
      <c r="C82">
        <v>-7.46</v>
      </c>
      <c r="D82">
        <v>4.4089999999999998</v>
      </c>
      <c r="E82" t="b">
        <v>1</v>
      </c>
      <c r="F82" t="b">
        <v>0</v>
      </c>
    </row>
    <row r="83" spans="1:6" x14ac:dyDescent="0.3">
      <c r="A83">
        <v>64</v>
      </c>
      <c r="B83">
        <v>-28.88</v>
      </c>
      <c r="C83">
        <v>-3.73</v>
      </c>
      <c r="D83">
        <v>4.4980000000000002</v>
      </c>
      <c r="E83" t="b">
        <v>1</v>
      </c>
      <c r="F83" t="b">
        <v>0</v>
      </c>
    </row>
    <row r="84" spans="1:6" x14ac:dyDescent="0.3">
      <c r="A84">
        <v>65</v>
      </c>
      <c r="B84">
        <v>-21.66</v>
      </c>
      <c r="C84">
        <v>-3.73</v>
      </c>
      <c r="D84">
        <v>4.9550000000000001</v>
      </c>
      <c r="E84" t="b">
        <v>1</v>
      </c>
      <c r="F84" t="b">
        <v>0</v>
      </c>
    </row>
    <row r="85" spans="1:6" x14ac:dyDescent="0.3">
      <c r="A85">
        <v>66</v>
      </c>
      <c r="B85">
        <v>-14.44</v>
      </c>
      <c r="C85">
        <v>-3.73</v>
      </c>
      <c r="D85">
        <v>5.5259999999999998</v>
      </c>
      <c r="E85" t="b">
        <v>1</v>
      </c>
      <c r="F85" t="b">
        <v>0</v>
      </c>
    </row>
    <row r="86" spans="1:6" x14ac:dyDescent="0.3">
      <c r="A86">
        <v>67</v>
      </c>
      <c r="B86">
        <v>-7.22</v>
      </c>
      <c r="C86">
        <v>-3.73</v>
      </c>
      <c r="D86">
        <v>5.9530000000000003</v>
      </c>
      <c r="E86" t="b">
        <v>1</v>
      </c>
      <c r="F86" t="b">
        <v>0</v>
      </c>
    </row>
    <row r="87" spans="1:6" x14ac:dyDescent="0.3">
      <c r="A87">
        <v>68</v>
      </c>
      <c r="B87">
        <v>0</v>
      </c>
      <c r="C87">
        <v>-3.73</v>
      </c>
      <c r="D87">
        <v>6.0960000000000001</v>
      </c>
      <c r="E87" t="b">
        <v>1</v>
      </c>
      <c r="F87" t="b">
        <v>0</v>
      </c>
    </row>
    <row r="88" spans="1:6" x14ac:dyDescent="0.3">
      <c r="A88">
        <v>69</v>
      </c>
      <c r="B88">
        <v>7.22</v>
      </c>
      <c r="C88">
        <v>-3.73</v>
      </c>
      <c r="D88">
        <v>5.9530000000000003</v>
      </c>
      <c r="E88" t="b">
        <v>1</v>
      </c>
      <c r="F88" t="b">
        <v>0</v>
      </c>
    </row>
    <row r="89" spans="1:6" x14ac:dyDescent="0.3">
      <c r="A89">
        <v>70</v>
      </c>
      <c r="B89">
        <v>14.44</v>
      </c>
      <c r="C89">
        <v>-3.73</v>
      </c>
      <c r="D89">
        <v>5.5259999999999998</v>
      </c>
      <c r="E89" t="b">
        <v>1</v>
      </c>
      <c r="F89" t="b">
        <v>0</v>
      </c>
    </row>
    <row r="90" spans="1:6" x14ac:dyDescent="0.3">
      <c r="A90">
        <v>71</v>
      </c>
      <c r="B90">
        <v>21.66</v>
      </c>
      <c r="C90">
        <v>-3.73</v>
      </c>
      <c r="D90">
        <v>4.9550000000000001</v>
      </c>
      <c r="E90" t="b">
        <v>1</v>
      </c>
      <c r="F90" t="b">
        <v>0</v>
      </c>
    </row>
    <row r="91" spans="1:6" x14ac:dyDescent="0.3">
      <c r="A91">
        <v>72</v>
      </c>
      <c r="B91">
        <v>28.88</v>
      </c>
      <c r="C91">
        <v>-3.73</v>
      </c>
      <c r="D91">
        <v>4.4980000000000002</v>
      </c>
      <c r="E91" t="b">
        <v>1</v>
      </c>
      <c r="F91" t="b">
        <v>0</v>
      </c>
    </row>
    <row r="92" spans="1:6" x14ac:dyDescent="0.3">
      <c r="A92">
        <v>73</v>
      </c>
      <c r="B92">
        <v>-28.88</v>
      </c>
      <c r="C92">
        <v>0</v>
      </c>
      <c r="D92">
        <v>4.5279999999999996</v>
      </c>
      <c r="E92" t="b">
        <v>1</v>
      </c>
      <c r="F92" t="b">
        <v>0</v>
      </c>
    </row>
    <row r="93" spans="1:6" x14ac:dyDescent="0.3">
      <c r="A93">
        <v>74</v>
      </c>
      <c r="B93">
        <v>-21.66</v>
      </c>
      <c r="C93">
        <v>0</v>
      </c>
      <c r="D93">
        <v>4.9889999999999999</v>
      </c>
      <c r="E93" t="b">
        <v>1</v>
      </c>
      <c r="F93" t="b">
        <v>0</v>
      </c>
    </row>
    <row r="94" spans="1:6" x14ac:dyDescent="0.3">
      <c r="A94">
        <v>75</v>
      </c>
      <c r="B94">
        <v>-14.44</v>
      </c>
      <c r="C94">
        <v>0</v>
      </c>
      <c r="D94">
        <v>5.577</v>
      </c>
      <c r="E94" t="b">
        <v>1</v>
      </c>
      <c r="F94" t="b">
        <v>0</v>
      </c>
    </row>
    <row r="95" spans="1:6" x14ac:dyDescent="0.3">
      <c r="A95">
        <v>76</v>
      </c>
      <c r="B95">
        <v>-7.22</v>
      </c>
      <c r="C95">
        <v>0</v>
      </c>
      <c r="D95">
        <v>6.0179999999999998</v>
      </c>
      <c r="E95" t="b">
        <v>1</v>
      </c>
      <c r="F95" t="b">
        <v>0</v>
      </c>
    </row>
    <row r="96" spans="1:6" x14ac:dyDescent="0.3">
      <c r="A96">
        <v>77</v>
      </c>
      <c r="B96">
        <v>0</v>
      </c>
      <c r="C96">
        <v>0</v>
      </c>
      <c r="D96">
        <v>6.165</v>
      </c>
      <c r="E96" t="b">
        <v>1</v>
      </c>
      <c r="F96" t="b">
        <v>0</v>
      </c>
    </row>
    <row r="97" spans="1:6" x14ac:dyDescent="0.3">
      <c r="A97">
        <v>78</v>
      </c>
      <c r="B97">
        <v>7.22</v>
      </c>
      <c r="C97">
        <v>0</v>
      </c>
      <c r="D97">
        <v>6.0179999999999998</v>
      </c>
      <c r="E97" t="b">
        <v>1</v>
      </c>
      <c r="F97" t="b">
        <v>0</v>
      </c>
    </row>
    <row r="98" spans="1:6" x14ac:dyDescent="0.3">
      <c r="A98">
        <v>79</v>
      </c>
      <c r="B98">
        <v>14.44</v>
      </c>
      <c r="C98">
        <v>0</v>
      </c>
      <c r="D98">
        <v>5.577</v>
      </c>
      <c r="E98" t="b">
        <v>1</v>
      </c>
      <c r="F98" t="b">
        <v>0</v>
      </c>
    </row>
    <row r="99" spans="1:6" x14ac:dyDescent="0.3">
      <c r="A99">
        <v>80</v>
      </c>
      <c r="B99">
        <v>21.66</v>
      </c>
      <c r="C99">
        <v>0</v>
      </c>
      <c r="D99">
        <v>4.9889999999999999</v>
      </c>
      <c r="E99" t="b">
        <v>1</v>
      </c>
      <c r="F99" t="b">
        <v>0</v>
      </c>
    </row>
    <row r="100" spans="1:6" x14ac:dyDescent="0.3">
      <c r="A100">
        <v>81</v>
      </c>
      <c r="B100">
        <v>28.88</v>
      </c>
      <c r="C100">
        <v>0</v>
      </c>
      <c r="D100">
        <v>4.5279999999999996</v>
      </c>
      <c r="E100" t="b">
        <v>1</v>
      </c>
      <c r="F100" t="b">
        <v>0</v>
      </c>
    </row>
    <row r="101" spans="1:6" x14ac:dyDescent="0.3">
      <c r="A101">
        <v>82</v>
      </c>
      <c r="B101">
        <v>-28.88</v>
      </c>
      <c r="C101">
        <v>3.73</v>
      </c>
      <c r="D101">
        <v>4.4980000000000002</v>
      </c>
      <c r="E101" t="b">
        <v>1</v>
      </c>
      <c r="F101" t="b">
        <v>0</v>
      </c>
    </row>
    <row r="102" spans="1:6" x14ac:dyDescent="0.3">
      <c r="A102">
        <v>83</v>
      </c>
      <c r="B102">
        <v>-21.66</v>
      </c>
      <c r="C102">
        <v>3.73</v>
      </c>
      <c r="D102">
        <v>4.9550000000000001</v>
      </c>
      <c r="E102" t="b">
        <v>1</v>
      </c>
      <c r="F102" t="b">
        <v>0</v>
      </c>
    </row>
    <row r="103" spans="1:6" x14ac:dyDescent="0.3">
      <c r="A103">
        <v>84</v>
      </c>
      <c r="B103">
        <v>-14.44</v>
      </c>
      <c r="C103">
        <v>3.73</v>
      </c>
      <c r="D103">
        <v>5.5259999999999998</v>
      </c>
      <c r="E103" t="b">
        <v>1</v>
      </c>
      <c r="F103" t="b">
        <v>0</v>
      </c>
    </row>
    <row r="104" spans="1:6" x14ac:dyDescent="0.3">
      <c r="A104">
        <v>85</v>
      </c>
      <c r="B104">
        <v>-7.22</v>
      </c>
      <c r="C104">
        <v>3.73</v>
      </c>
      <c r="D104">
        <v>5.9530000000000003</v>
      </c>
      <c r="E104" t="b">
        <v>1</v>
      </c>
      <c r="F104" t="b">
        <v>0</v>
      </c>
    </row>
    <row r="105" spans="1:6" x14ac:dyDescent="0.3">
      <c r="A105">
        <v>86</v>
      </c>
      <c r="B105">
        <v>0</v>
      </c>
      <c r="C105">
        <v>3.73</v>
      </c>
      <c r="D105">
        <v>6.0960000000000001</v>
      </c>
      <c r="E105" t="b">
        <v>1</v>
      </c>
      <c r="F105" t="b">
        <v>0</v>
      </c>
    </row>
    <row r="106" spans="1:6" x14ac:dyDescent="0.3">
      <c r="A106">
        <v>87</v>
      </c>
      <c r="B106">
        <v>7.22</v>
      </c>
      <c r="C106">
        <v>3.73</v>
      </c>
      <c r="D106">
        <v>5.9530000000000003</v>
      </c>
      <c r="E106" t="b">
        <v>1</v>
      </c>
      <c r="F106" t="b">
        <v>0</v>
      </c>
    </row>
    <row r="107" spans="1:6" x14ac:dyDescent="0.3">
      <c r="A107">
        <v>88</v>
      </c>
      <c r="B107">
        <v>14.44</v>
      </c>
      <c r="C107">
        <v>3.73</v>
      </c>
      <c r="D107">
        <v>5.5259999999999998</v>
      </c>
      <c r="E107" t="b">
        <v>1</v>
      </c>
      <c r="F107" t="b">
        <v>0</v>
      </c>
    </row>
    <row r="108" spans="1:6" x14ac:dyDescent="0.3">
      <c r="A108">
        <v>89</v>
      </c>
      <c r="B108">
        <v>21.66</v>
      </c>
      <c r="C108">
        <v>3.73</v>
      </c>
      <c r="D108">
        <v>4.9550000000000001</v>
      </c>
      <c r="E108" t="b">
        <v>1</v>
      </c>
      <c r="F108" t="b">
        <v>0</v>
      </c>
    </row>
    <row r="109" spans="1:6" x14ac:dyDescent="0.3">
      <c r="A109">
        <v>90</v>
      </c>
      <c r="B109">
        <v>28.88</v>
      </c>
      <c r="C109">
        <v>3.73</v>
      </c>
      <c r="D109">
        <v>4.4980000000000002</v>
      </c>
      <c r="E109" t="b">
        <v>1</v>
      </c>
      <c r="F109" t="b">
        <v>0</v>
      </c>
    </row>
    <row r="110" spans="1:6" x14ac:dyDescent="0.3">
      <c r="A110">
        <v>91</v>
      </c>
      <c r="B110">
        <v>-28.88</v>
      </c>
      <c r="C110">
        <v>7.46</v>
      </c>
      <c r="D110">
        <v>4.4089999999999998</v>
      </c>
      <c r="E110" t="b">
        <v>1</v>
      </c>
      <c r="F110" t="b">
        <v>0</v>
      </c>
    </row>
    <row r="111" spans="1:6" x14ac:dyDescent="0.3">
      <c r="A111">
        <v>92</v>
      </c>
      <c r="B111">
        <v>-21.66</v>
      </c>
      <c r="C111">
        <v>7.46</v>
      </c>
      <c r="D111">
        <v>4.8529999999999998</v>
      </c>
      <c r="E111" t="b">
        <v>1</v>
      </c>
      <c r="F111" t="b">
        <v>0</v>
      </c>
    </row>
    <row r="112" spans="1:6" x14ac:dyDescent="0.3">
      <c r="A112">
        <v>93</v>
      </c>
      <c r="B112">
        <v>-14.44</v>
      </c>
      <c r="C112">
        <v>7.46</v>
      </c>
      <c r="D112">
        <v>5.3710000000000004</v>
      </c>
      <c r="E112" t="b">
        <v>1</v>
      </c>
      <c r="F112" t="b">
        <v>0</v>
      </c>
    </row>
    <row r="113" spans="1:6" x14ac:dyDescent="0.3">
      <c r="A113">
        <v>94</v>
      </c>
      <c r="B113">
        <v>-7.22</v>
      </c>
      <c r="C113">
        <v>7.46</v>
      </c>
      <c r="D113">
        <v>5.7590000000000003</v>
      </c>
      <c r="E113" t="b">
        <v>1</v>
      </c>
      <c r="F113" t="b">
        <v>0</v>
      </c>
    </row>
    <row r="114" spans="1:6" x14ac:dyDescent="0.3">
      <c r="A114">
        <v>95</v>
      </c>
      <c r="B114">
        <v>0</v>
      </c>
      <c r="C114">
        <v>7.46</v>
      </c>
      <c r="D114">
        <v>5.8879999999999999</v>
      </c>
      <c r="E114" t="b">
        <v>1</v>
      </c>
      <c r="F114" t="b">
        <v>0</v>
      </c>
    </row>
    <row r="115" spans="1:6" x14ac:dyDescent="0.3">
      <c r="A115">
        <v>96</v>
      </c>
      <c r="B115">
        <v>7.22</v>
      </c>
      <c r="C115">
        <v>7.46</v>
      </c>
      <c r="D115">
        <v>5.7590000000000003</v>
      </c>
      <c r="E115" t="b">
        <v>1</v>
      </c>
      <c r="F115" t="b">
        <v>0</v>
      </c>
    </row>
    <row r="116" spans="1:6" x14ac:dyDescent="0.3">
      <c r="A116">
        <v>97</v>
      </c>
      <c r="B116">
        <v>14.44</v>
      </c>
      <c r="C116">
        <v>7.46</v>
      </c>
      <c r="D116">
        <v>5.3710000000000004</v>
      </c>
      <c r="E116" t="b">
        <v>1</v>
      </c>
      <c r="F116" t="b">
        <v>0</v>
      </c>
    </row>
    <row r="117" spans="1:6" x14ac:dyDescent="0.3">
      <c r="A117">
        <v>98</v>
      </c>
      <c r="B117">
        <v>21.66</v>
      </c>
      <c r="C117">
        <v>7.46</v>
      </c>
      <c r="D117">
        <v>4.8529999999999998</v>
      </c>
      <c r="E117" t="b">
        <v>1</v>
      </c>
      <c r="F117" t="b">
        <v>0</v>
      </c>
    </row>
    <row r="118" spans="1:6" x14ac:dyDescent="0.3">
      <c r="A118">
        <v>99</v>
      </c>
      <c r="B118">
        <v>28.88</v>
      </c>
      <c r="C118">
        <v>7.46</v>
      </c>
      <c r="D118">
        <v>4.4089999999999998</v>
      </c>
      <c r="E118" t="b">
        <v>1</v>
      </c>
      <c r="F118" t="b">
        <v>0</v>
      </c>
    </row>
    <row r="119" spans="1:6" x14ac:dyDescent="0.3">
      <c r="A119">
        <v>100</v>
      </c>
      <c r="B119">
        <v>-28.88</v>
      </c>
      <c r="C119">
        <v>11.07</v>
      </c>
      <c r="D119">
        <v>4.2649999999999997</v>
      </c>
      <c r="E119" t="b">
        <v>1</v>
      </c>
      <c r="F119" t="b">
        <v>0</v>
      </c>
    </row>
    <row r="120" spans="1:6" x14ac:dyDescent="0.3">
      <c r="A120">
        <v>101</v>
      </c>
      <c r="B120">
        <v>-21.66</v>
      </c>
      <c r="C120">
        <v>11.07</v>
      </c>
      <c r="D120">
        <v>4.6890000000000001</v>
      </c>
      <c r="E120" t="b">
        <v>1</v>
      </c>
      <c r="F120" t="b">
        <v>0</v>
      </c>
    </row>
    <row r="121" spans="1:6" x14ac:dyDescent="0.3">
      <c r="A121">
        <v>102</v>
      </c>
      <c r="B121">
        <v>-14.44</v>
      </c>
      <c r="C121">
        <v>11.07</v>
      </c>
      <c r="D121">
        <v>5.1219999999999999</v>
      </c>
      <c r="E121" t="b">
        <v>1</v>
      </c>
      <c r="F121" t="b">
        <v>0</v>
      </c>
    </row>
    <row r="122" spans="1:6" x14ac:dyDescent="0.3">
      <c r="A122">
        <v>103</v>
      </c>
      <c r="B122">
        <v>-7.22</v>
      </c>
      <c r="C122">
        <v>11.07</v>
      </c>
      <c r="D122">
        <v>5.4470000000000001</v>
      </c>
      <c r="E122" t="b">
        <v>1</v>
      </c>
      <c r="F122" t="b">
        <v>0</v>
      </c>
    </row>
    <row r="123" spans="1:6" x14ac:dyDescent="0.3">
      <c r="A123">
        <v>104</v>
      </c>
      <c r="B123">
        <v>0</v>
      </c>
      <c r="C123">
        <v>11.07</v>
      </c>
      <c r="D123">
        <v>5.5549999999999997</v>
      </c>
      <c r="E123" t="b">
        <v>1</v>
      </c>
      <c r="F123" t="b">
        <v>0</v>
      </c>
    </row>
    <row r="124" spans="1:6" x14ac:dyDescent="0.3">
      <c r="A124">
        <v>105</v>
      </c>
      <c r="B124">
        <v>7.22</v>
      </c>
      <c r="C124">
        <v>11.07</v>
      </c>
      <c r="D124">
        <v>5.4470000000000001</v>
      </c>
      <c r="E124" t="b">
        <v>1</v>
      </c>
      <c r="F124" t="b">
        <v>0</v>
      </c>
    </row>
    <row r="125" spans="1:6" x14ac:dyDescent="0.3">
      <c r="A125">
        <v>106</v>
      </c>
      <c r="B125">
        <v>14.44</v>
      </c>
      <c r="C125">
        <v>11.07</v>
      </c>
      <c r="D125">
        <v>5.1219999999999999</v>
      </c>
      <c r="E125" t="b">
        <v>1</v>
      </c>
      <c r="F125" t="b">
        <v>0</v>
      </c>
    </row>
    <row r="126" spans="1:6" x14ac:dyDescent="0.3">
      <c r="A126">
        <v>107</v>
      </c>
      <c r="B126">
        <v>21.66</v>
      </c>
      <c r="C126">
        <v>11.07</v>
      </c>
      <c r="D126">
        <v>4.6890000000000001</v>
      </c>
      <c r="E126" t="b">
        <v>1</v>
      </c>
      <c r="F126" t="b">
        <v>0</v>
      </c>
    </row>
    <row r="127" spans="1:6" x14ac:dyDescent="0.3">
      <c r="A127">
        <v>108</v>
      </c>
      <c r="B127">
        <v>28.88</v>
      </c>
      <c r="C127">
        <v>11.07</v>
      </c>
      <c r="D127">
        <v>4.2649999999999997</v>
      </c>
      <c r="E127" t="b">
        <v>1</v>
      </c>
      <c r="F127" t="b">
        <v>0</v>
      </c>
    </row>
    <row r="128" spans="1:6" x14ac:dyDescent="0.3">
      <c r="A128">
        <v>109</v>
      </c>
      <c r="B128">
        <v>-28.88</v>
      </c>
      <c r="C128">
        <v>14.68</v>
      </c>
      <c r="D128">
        <v>4.0999999999999996</v>
      </c>
      <c r="E128" t="b">
        <v>1</v>
      </c>
      <c r="F128" t="b">
        <v>0</v>
      </c>
    </row>
    <row r="129" spans="1:6" x14ac:dyDescent="0.3">
      <c r="A129">
        <v>110</v>
      </c>
      <c r="B129">
        <v>-21.66</v>
      </c>
      <c r="C129">
        <v>14.68</v>
      </c>
      <c r="D129">
        <v>4.49</v>
      </c>
      <c r="E129" t="b">
        <v>1</v>
      </c>
      <c r="F129" t="b">
        <v>0</v>
      </c>
    </row>
    <row r="130" spans="1:6" x14ac:dyDescent="0.3">
      <c r="A130">
        <v>111</v>
      </c>
      <c r="B130">
        <v>-14.44</v>
      </c>
      <c r="C130">
        <v>14.68</v>
      </c>
      <c r="D130">
        <v>4.8099999999999996</v>
      </c>
      <c r="E130" t="b">
        <v>1</v>
      </c>
      <c r="F130" t="b">
        <v>0</v>
      </c>
    </row>
    <row r="131" spans="1:6" x14ac:dyDescent="0.3">
      <c r="A131">
        <v>112</v>
      </c>
      <c r="B131">
        <v>-7.22</v>
      </c>
      <c r="C131">
        <v>14.68</v>
      </c>
      <c r="D131">
        <v>5.0190000000000001</v>
      </c>
      <c r="E131" t="b">
        <v>1</v>
      </c>
      <c r="F131" t="b">
        <v>0</v>
      </c>
    </row>
    <row r="132" spans="1:6" x14ac:dyDescent="0.3">
      <c r="A132">
        <v>113</v>
      </c>
      <c r="B132">
        <v>0</v>
      </c>
      <c r="C132">
        <v>14.68</v>
      </c>
      <c r="D132">
        <v>5.0890000000000004</v>
      </c>
      <c r="E132" t="b">
        <v>1</v>
      </c>
      <c r="F132" t="b">
        <v>0</v>
      </c>
    </row>
    <row r="133" spans="1:6" x14ac:dyDescent="0.3">
      <c r="A133">
        <v>114</v>
      </c>
      <c r="B133">
        <v>7.22</v>
      </c>
      <c r="C133">
        <v>14.68</v>
      </c>
      <c r="D133">
        <v>5.0190000000000001</v>
      </c>
      <c r="E133" t="b">
        <v>1</v>
      </c>
      <c r="F133" t="b">
        <v>0</v>
      </c>
    </row>
    <row r="134" spans="1:6" x14ac:dyDescent="0.3">
      <c r="A134">
        <v>115</v>
      </c>
      <c r="B134">
        <v>14.44</v>
      </c>
      <c r="C134">
        <v>14.68</v>
      </c>
      <c r="D134">
        <v>4.8099999999999996</v>
      </c>
      <c r="E134" t="b">
        <v>1</v>
      </c>
      <c r="F134" t="b">
        <v>0</v>
      </c>
    </row>
    <row r="135" spans="1:6" x14ac:dyDescent="0.3">
      <c r="A135">
        <v>116</v>
      </c>
      <c r="B135">
        <v>21.66</v>
      </c>
      <c r="C135">
        <v>14.68</v>
      </c>
      <c r="D135">
        <v>4.49</v>
      </c>
      <c r="E135" t="b">
        <v>1</v>
      </c>
      <c r="F135" t="b">
        <v>0</v>
      </c>
    </row>
    <row r="136" spans="1:6" x14ac:dyDescent="0.3">
      <c r="A136">
        <v>117</v>
      </c>
      <c r="B136">
        <v>28.88</v>
      </c>
      <c r="C136">
        <v>14.68</v>
      </c>
      <c r="D136">
        <v>4.0999999999999996</v>
      </c>
      <c r="E136" t="b">
        <v>1</v>
      </c>
      <c r="F136" t="b">
        <v>0</v>
      </c>
    </row>
    <row r="137" spans="1:6" x14ac:dyDescent="0.3">
      <c r="A137">
        <v>118</v>
      </c>
      <c r="B137">
        <v>-28.88</v>
      </c>
      <c r="C137">
        <v>17.79</v>
      </c>
      <c r="D137">
        <v>3.794</v>
      </c>
      <c r="E137" t="b">
        <v>1</v>
      </c>
      <c r="F137" t="b">
        <v>0</v>
      </c>
    </row>
    <row r="138" spans="1:6" x14ac:dyDescent="0.3">
      <c r="A138">
        <v>119</v>
      </c>
      <c r="B138">
        <v>-21.66</v>
      </c>
      <c r="C138">
        <v>17.79</v>
      </c>
      <c r="D138">
        <v>4.1500000000000004</v>
      </c>
      <c r="E138" t="b">
        <v>1</v>
      </c>
      <c r="F138" t="b">
        <v>0</v>
      </c>
    </row>
    <row r="139" spans="1:6" x14ac:dyDescent="0.3">
      <c r="A139">
        <v>120</v>
      </c>
      <c r="B139">
        <v>-14.44</v>
      </c>
      <c r="C139">
        <v>17.79</v>
      </c>
      <c r="D139">
        <v>4.4000000000000004</v>
      </c>
      <c r="E139" t="b">
        <v>1</v>
      </c>
      <c r="F139" t="b">
        <v>0</v>
      </c>
    </row>
    <row r="140" spans="1:6" x14ac:dyDescent="0.3">
      <c r="A140">
        <v>121</v>
      </c>
      <c r="B140">
        <v>-7.22</v>
      </c>
      <c r="C140">
        <v>17.79</v>
      </c>
      <c r="D140">
        <v>4.5880000000000001</v>
      </c>
      <c r="E140" t="b">
        <v>1</v>
      </c>
      <c r="F140" t="b">
        <v>0</v>
      </c>
    </row>
    <row r="141" spans="1:6" x14ac:dyDescent="0.3">
      <c r="A141">
        <v>122</v>
      </c>
      <c r="B141">
        <v>0</v>
      </c>
      <c r="C141">
        <v>17.79</v>
      </c>
      <c r="D141">
        <v>4.6500000000000004</v>
      </c>
      <c r="E141" t="b">
        <v>1</v>
      </c>
      <c r="F141" t="b">
        <v>0</v>
      </c>
    </row>
    <row r="142" spans="1:6" x14ac:dyDescent="0.3">
      <c r="A142">
        <v>123</v>
      </c>
      <c r="B142">
        <v>7.22</v>
      </c>
      <c r="C142">
        <v>17.79</v>
      </c>
      <c r="D142">
        <v>4.5880000000000001</v>
      </c>
      <c r="E142" t="b">
        <v>1</v>
      </c>
      <c r="F142" t="b">
        <v>0</v>
      </c>
    </row>
    <row r="143" spans="1:6" x14ac:dyDescent="0.3">
      <c r="A143">
        <v>124</v>
      </c>
      <c r="B143">
        <v>14.44</v>
      </c>
      <c r="C143">
        <v>17.79</v>
      </c>
      <c r="D143">
        <v>4.4000000000000004</v>
      </c>
      <c r="E143" t="b">
        <v>1</v>
      </c>
      <c r="F143" t="b">
        <v>0</v>
      </c>
    </row>
    <row r="144" spans="1:6" x14ac:dyDescent="0.3">
      <c r="A144">
        <v>125</v>
      </c>
      <c r="B144">
        <v>21.66</v>
      </c>
      <c r="C144">
        <v>17.79</v>
      </c>
      <c r="D144">
        <v>4.1500000000000004</v>
      </c>
      <c r="E144" t="b">
        <v>1</v>
      </c>
      <c r="F144" t="b">
        <v>0</v>
      </c>
    </row>
    <row r="145" spans="1:6" x14ac:dyDescent="0.3">
      <c r="A145">
        <v>126</v>
      </c>
      <c r="B145">
        <v>28.88</v>
      </c>
      <c r="C145">
        <v>17.79</v>
      </c>
      <c r="D145">
        <v>3.794</v>
      </c>
      <c r="E145" t="b">
        <v>1</v>
      </c>
      <c r="F145" t="b">
        <v>0</v>
      </c>
    </row>
    <row r="146" spans="1:6" x14ac:dyDescent="0.3">
      <c r="A146">
        <v>127</v>
      </c>
      <c r="B146">
        <v>-28.88</v>
      </c>
      <c r="C146">
        <v>20.9</v>
      </c>
      <c r="D146">
        <v>3.488</v>
      </c>
      <c r="E146" t="b">
        <v>1</v>
      </c>
      <c r="F146" t="b">
        <v>0</v>
      </c>
    </row>
    <row r="147" spans="1:6" x14ac:dyDescent="0.3">
      <c r="A147">
        <v>128</v>
      </c>
      <c r="B147">
        <v>-21.66</v>
      </c>
      <c r="C147">
        <v>20.9</v>
      </c>
      <c r="D147">
        <v>3.8</v>
      </c>
      <c r="E147" t="b">
        <v>1</v>
      </c>
      <c r="F147" t="b">
        <v>0</v>
      </c>
    </row>
    <row r="148" spans="1:6" x14ac:dyDescent="0.3">
      <c r="A148">
        <v>129</v>
      </c>
      <c r="B148">
        <v>-14.44</v>
      </c>
      <c r="C148">
        <v>20.9</v>
      </c>
      <c r="D148">
        <v>4</v>
      </c>
      <c r="E148" t="b">
        <v>1</v>
      </c>
      <c r="F148" t="b">
        <v>0</v>
      </c>
    </row>
    <row r="149" spans="1:6" x14ac:dyDescent="0.3">
      <c r="A149">
        <v>130</v>
      </c>
      <c r="B149">
        <v>-7.22</v>
      </c>
      <c r="C149">
        <v>20.9</v>
      </c>
      <c r="D149">
        <v>4.1500000000000004</v>
      </c>
      <c r="E149" t="b">
        <v>1</v>
      </c>
      <c r="F149" t="b">
        <v>0</v>
      </c>
    </row>
    <row r="150" spans="1:6" x14ac:dyDescent="0.3">
      <c r="A150">
        <v>131</v>
      </c>
      <c r="B150">
        <v>0</v>
      </c>
      <c r="C150">
        <v>20.9</v>
      </c>
      <c r="D150">
        <v>4.2</v>
      </c>
      <c r="E150" t="b">
        <v>1</v>
      </c>
      <c r="F150" t="b">
        <v>0</v>
      </c>
    </row>
    <row r="151" spans="1:6" x14ac:dyDescent="0.3">
      <c r="A151">
        <v>132</v>
      </c>
      <c r="B151">
        <v>7.22</v>
      </c>
      <c r="C151">
        <v>20.9</v>
      </c>
      <c r="D151">
        <v>4.1500000000000004</v>
      </c>
      <c r="E151" t="b">
        <v>1</v>
      </c>
      <c r="F151" t="b">
        <v>0</v>
      </c>
    </row>
    <row r="152" spans="1:6" x14ac:dyDescent="0.3">
      <c r="A152">
        <v>133</v>
      </c>
      <c r="B152">
        <v>14.44</v>
      </c>
      <c r="C152">
        <v>20.9</v>
      </c>
      <c r="D152">
        <v>4</v>
      </c>
      <c r="E152" t="b">
        <v>1</v>
      </c>
      <c r="F152" t="b">
        <v>0</v>
      </c>
    </row>
    <row r="153" spans="1:6" x14ac:dyDescent="0.3">
      <c r="A153">
        <v>134</v>
      </c>
      <c r="B153">
        <v>21.66</v>
      </c>
      <c r="C153">
        <v>20.9</v>
      </c>
      <c r="D153">
        <v>3.8</v>
      </c>
      <c r="E153" t="b">
        <v>1</v>
      </c>
      <c r="F153" t="b">
        <v>0</v>
      </c>
    </row>
    <row r="154" spans="1:6" x14ac:dyDescent="0.3">
      <c r="A154">
        <v>135</v>
      </c>
      <c r="B154">
        <v>28.88</v>
      </c>
      <c r="C154">
        <v>20.9</v>
      </c>
      <c r="D154">
        <v>3.488</v>
      </c>
      <c r="E154" t="b">
        <v>1</v>
      </c>
      <c r="F154" t="b">
        <v>0</v>
      </c>
    </row>
    <row r="155" spans="1:6" x14ac:dyDescent="0.3">
      <c r="A155">
        <v>136</v>
      </c>
      <c r="B155">
        <v>-28.88</v>
      </c>
      <c r="C155">
        <v>24.01</v>
      </c>
      <c r="D155">
        <v>3.0939999999999999</v>
      </c>
      <c r="E155" t="b">
        <v>1</v>
      </c>
      <c r="F155" t="b">
        <v>0</v>
      </c>
    </row>
    <row r="156" spans="1:6" x14ac:dyDescent="0.3">
      <c r="A156">
        <v>137</v>
      </c>
      <c r="B156">
        <v>-21.66</v>
      </c>
      <c r="C156">
        <v>24.01</v>
      </c>
      <c r="D156">
        <v>3.35</v>
      </c>
      <c r="E156" t="b">
        <v>1</v>
      </c>
      <c r="F156" t="b">
        <v>0</v>
      </c>
    </row>
    <row r="157" spans="1:6" x14ac:dyDescent="0.3">
      <c r="A157">
        <v>138</v>
      </c>
      <c r="B157">
        <v>-14.44</v>
      </c>
      <c r="C157">
        <v>24.01</v>
      </c>
      <c r="D157">
        <v>3.5</v>
      </c>
      <c r="E157" t="b">
        <v>1</v>
      </c>
      <c r="F157" t="b">
        <v>0</v>
      </c>
    </row>
    <row r="158" spans="1:6" x14ac:dyDescent="0.3">
      <c r="A158">
        <v>139</v>
      </c>
      <c r="B158">
        <v>-7.22</v>
      </c>
      <c r="C158">
        <v>24.01</v>
      </c>
      <c r="D158">
        <v>3.613</v>
      </c>
      <c r="E158" t="b">
        <v>1</v>
      </c>
      <c r="F158" t="b">
        <v>0</v>
      </c>
    </row>
    <row r="159" spans="1:6" x14ac:dyDescent="0.3">
      <c r="A159">
        <v>140</v>
      </c>
      <c r="B159">
        <v>0</v>
      </c>
      <c r="C159">
        <v>24.01</v>
      </c>
      <c r="D159">
        <v>3.65</v>
      </c>
      <c r="E159" t="b">
        <v>1</v>
      </c>
      <c r="F159" t="b">
        <v>0</v>
      </c>
    </row>
    <row r="160" spans="1:6" x14ac:dyDescent="0.3">
      <c r="A160">
        <v>141</v>
      </c>
      <c r="B160">
        <v>7.22</v>
      </c>
      <c r="C160">
        <v>24.01</v>
      </c>
      <c r="D160">
        <v>3.613</v>
      </c>
      <c r="E160" t="b">
        <v>1</v>
      </c>
      <c r="F160" t="b">
        <v>0</v>
      </c>
    </row>
    <row r="161" spans="1:6" x14ac:dyDescent="0.3">
      <c r="A161">
        <v>142</v>
      </c>
      <c r="B161">
        <v>14.44</v>
      </c>
      <c r="C161">
        <v>24.01</v>
      </c>
      <c r="D161">
        <v>3.5</v>
      </c>
      <c r="E161" t="b">
        <v>1</v>
      </c>
      <c r="F161" t="b">
        <v>0</v>
      </c>
    </row>
    <row r="162" spans="1:6" x14ac:dyDescent="0.3">
      <c r="A162">
        <v>143</v>
      </c>
      <c r="B162">
        <v>21.66</v>
      </c>
      <c r="C162">
        <v>24.01</v>
      </c>
      <c r="D162">
        <v>3.35</v>
      </c>
      <c r="E162" t="b">
        <v>1</v>
      </c>
      <c r="F162" t="b">
        <v>0</v>
      </c>
    </row>
    <row r="163" spans="1:6" x14ac:dyDescent="0.3">
      <c r="A163">
        <v>144</v>
      </c>
      <c r="B163">
        <v>28.88</v>
      </c>
      <c r="C163">
        <v>24.01</v>
      </c>
      <c r="D163">
        <v>3.0939999999999999</v>
      </c>
      <c r="E163" t="b">
        <v>1</v>
      </c>
      <c r="F163" t="b">
        <v>0</v>
      </c>
    </row>
    <row r="164" spans="1:6" x14ac:dyDescent="0.3">
      <c r="A164">
        <v>145</v>
      </c>
      <c r="B164">
        <v>-28.88</v>
      </c>
      <c r="C164">
        <v>27.12</v>
      </c>
      <c r="D164">
        <v>2.613</v>
      </c>
      <c r="E164" t="b">
        <v>1</v>
      </c>
      <c r="F164" t="b">
        <v>0</v>
      </c>
    </row>
    <row r="165" spans="1:6" x14ac:dyDescent="0.3">
      <c r="A165">
        <v>146</v>
      </c>
      <c r="B165">
        <v>-21.66</v>
      </c>
      <c r="C165">
        <v>27.12</v>
      </c>
      <c r="D165">
        <v>2.8</v>
      </c>
      <c r="E165" t="b">
        <v>1</v>
      </c>
      <c r="F165" t="b">
        <v>0</v>
      </c>
    </row>
    <row r="166" spans="1:6" x14ac:dyDescent="0.3">
      <c r="A166">
        <v>147</v>
      </c>
      <c r="B166">
        <v>-14.44</v>
      </c>
      <c r="C166">
        <v>27.12</v>
      </c>
      <c r="D166">
        <v>2.9</v>
      </c>
      <c r="E166" t="b">
        <v>1</v>
      </c>
      <c r="F166" t="b">
        <v>0</v>
      </c>
    </row>
    <row r="167" spans="1:6" x14ac:dyDescent="0.3">
      <c r="A167">
        <v>148</v>
      </c>
      <c r="B167">
        <v>-7.22</v>
      </c>
      <c r="C167">
        <v>27.12</v>
      </c>
      <c r="D167">
        <v>2.9750000000000001</v>
      </c>
      <c r="E167" t="b">
        <v>1</v>
      </c>
      <c r="F167" t="b">
        <v>0</v>
      </c>
    </row>
    <row r="168" spans="1:6" x14ac:dyDescent="0.3">
      <c r="A168">
        <v>149</v>
      </c>
      <c r="B168">
        <v>0</v>
      </c>
      <c r="C168">
        <v>27.12</v>
      </c>
      <c r="D168">
        <v>3</v>
      </c>
      <c r="E168" t="b">
        <v>1</v>
      </c>
      <c r="F168" t="b">
        <v>0</v>
      </c>
    </row>
    <row r="169" spans="1:6" x14ac:dyDescent="0.3">
      <c r="A169">
        <v>150</v>
      </c>
      <c r="B169">
        <v>7.22</v>
      </c>
      <c r="C169">
        <v>27.12</v>
      </c>
      <c r="D169">
        <v>2.9750000000000001</v>
      </c>
      <c r="E169" t="b">
        <v>1</v>
      </c>
      <c r="F169" t="b">
        <v>0</v>
      </c>
    </row>
    <row r="170" spans="1:6" x14ac:dyDescent="0.3">
      <c r="A170">
        <v>151</v>
      </c>
      <c r="B170">
        <v>14.44</v>
      </c>
      <c r="C170">
        <v>27.12</v>
      </c>
      <c r="D170">
        <v>2.9</v>
      </c>
      <c r="E170" t="b">
        <v>1</v>
      </c>
      <c r="F170" t="b">
        <v>0</v>
      </c>
    </row>
    <row r="171" spans="1:6" x14ac:dyDescent="0.3">
      <c r="A171">
        <v>152</v>
      </c>
      <c r="B171">
        <v>21.66</v>
      </c>
      <c r="C171">
        <v>27.12</v>
      </c>
      <c r="D171">
        <v>2.8</v>
      </c>
      <c r="E171" t="b">
        <v>1</v>
      </c>
      <c r="F171" t="b">
        <v>0</v>
      </c>
    </row>
    <row r="172" spans="1:6" x14ac:dyDescent="0.3">
      <c r="A172">
        <v>153</v>
      </c>
      <c r="B172">
        <v>28.88</v>
      </c>
      <c r="C172">
        <v>27.12</v>
      </c>
      <c r="D172">
        <v>2.613</v>
      </c>
      <c r="E172" t="b">
        <v>1</v>
      </c>
      <c r="F172" t="b">
        <v>0</v>
      </c>
    </row>
    <row r="173" spans="1:6" x14ac:dyDescent="0.3">
      <c r="A173">
        <v>154</v>
      </c>
      <c r="B173">
        <v>-28.88</v>
      </c>
      <c r="C173">
        <v>30.23</v>
      </c>
      <c r="D173">
        <v>2</v>
      </c>
      <c r="E173" t="b">
        <v>1</v>
      </c>
      <c r="F173" t="b">
        <v>0</v>
      </c>
    </row>
    <row r="174" spans="1:6" x14ac:dyDescent="0.3">
      <c r="A174">
        <v>155</v>
      </c>
      <c r="B174">
        <v>-21.66</v>
      </c>
      <c r="C174">
        <v>30.23</v>
      </c>
      <c r="D174">
        <v>2.1</v>
      </c>
      <c r="E174" t="b">
        <v>1</v>
      </c>
      <c r="F174" t="b">
        <v>0</v>
      </c>
    </row>
    <row r="175" spans="1:6" x14ac:dyDescent="0.3">
      <c r="A175">
        <v>156</v>
      </c>
      <c r="B175">
        <v>-14.44</v>
      </c>
      <c r="C175">
        <v>30.23</v>
      </c>
      <c r="D175">
        <v>2.15</v>
      </c>
      <c r="E175" t="b">
        <v>1</v>
      </c>
      <c r="F175" t="b">
        <v>0</v>
      </c>
    </row>
    <row r="176" spans="1:6" x14ac:dyDescent="0.3">
      <c r="A176">
        <v>157</v>
      </c>
      <c r="B176">
        <v>-7.22</v>
      </c>
      <c r="C176">
        <v>30.23</v>
      </c>
      <c r="D176">
        <v>2.1880000000000002</v>
      </c>
      <c r="E176" t="b">
        <v>1</v>
      </c>
      <c r="F176" t="b">
        <v>0</v>
      </c>
    </row>
    <row r="177" spans="1:6" x14ac:dyDescent="0.3">
      <c r="A177">
        <v>158</v>
      </c>
      <c r="B177">
        <v>0</v>
      </c>
      <c r="C177">
        <v>30.23</v>
      </c>
      <c r="D177">
        <v>2.2000000000000002</v>
      </c>
      <c r="E177" t="b">
        <v>1</v>
      </c>
      <c r="F177" t="b">
        <v>0</v>
      </c>
    </row>
    <row r="178" spans="1:6" x14ac:dyDescent="0.3">
      <c r="A178">
        <v>159</v>
      </c>
      <c r="B178">
        <v>7.22</v>
      </c>
      <c r="C178">
        <v>30.23</v>
      </c>
      <c r="D178">
        <v>2.1880000000000002</v>
      </c>
      <c r="E178" t="b">
        <v>1</v>
      </c>
      <c r="F178" t="b">
        <v>0</v>
      </c>
    </row>
    <row r="179" spans="1:6" x14ac:dyDescent="0.3">
      <c r="A179">
        <v>160</v>
      </c>
      <c r="B179">
        <v>14.44</v>
      </c>
      <c r="C179">
        <v>30.23</v>
      </c>
      <c r="D179">
        <v>2.15</v>
      </c>
      <c r="E179" t="b">
        <v>1</v>
      </c>
      <c r="F179" t="b">
        <v>0</v>
      </c>
    </row>
    <row r="180" spans="1:6" x14ac:dyDescent="0.3">
      <c r="A180">
        <v>161</v>
      </c>
      <c r="B180">
        <v>21.66</v>
      </c>
      <c r="C180">
        <v>30.23</v>
      </c>
      <c r="D180">
        <v>2.1</v>
      </c>
      <c r="E180" t="b">
        <v>1</v>
      </c>
      <c r="F180" t="b">
        <v>0</v>
      </c>
    </row>
    <row r="181" spans="1:6" x14ac:dyDescent="0.3">
      <c r="A181">
        <v>162</v>
      </c>
      <c r="B181">
        <v>28.88</v>
      </c>
      <c r="C181">
        <v>30.23</v>
      </c>
      <c r="D181">
        <v>2</v>
      </c>
      <c r="E181" t="b">
        <v>1</v>
      </c>
      <c r="F181" t="b">
        <v>0</v>
      </c>
    </row>
    <row r="182" spans="1:6" x14ac:dyDescent="0.3">
      <c r="A182">
        <v>163</v>
      </c>
      <c r="B182">
        <v>-28.88</v>
      </c>
      <c r="C182">
        <v>33.340000000000003</v>
      </c>
      <c r="D182">
        <v>1.3</v>
      </c>
      <c r="E182" t="b">
        <v>1</v>
      </c>
      <c r="F182" t="b">
        <v>0</v>
      </c>
    </row>
    <row r="183" spans="1:6" x14ac:dyDescent="0.3">
      <c r="A183">
        <v>164</v>
      </c>
      <c r="B183">
        <v>-21.66</v>
      </c>
      <c r="C183">
        <v>33.340000000000003</v>
      </c>
      <c r="D183">
        <v>1.3</v>
      </c>
      <c r="E183" t="b">
        <v>1</v>
      </c>
      <c r="F183" t="b">
        <v>0</v>
      </c>
    </row>
    <row r="184" spans="1:6" x14ac:dyDescent="0.3">
      <c r="A184">
        <v>165</v>
      </c>
      <c r="B184">
        <v>-14.44</v>
      </c>
      <c r="C184">
        <v>33.340000000000003</v>
      </c>
      <c r="D184">
        <v>1.3</v>
      </c>
      <c r="E184" t="b">
        <v>1</v>
      </c>
      <c r="F184" t="b">
        <v>0</v>
      </c>
    </row>
    <row r="185" spans="1:6" x14ac:dyDescent="0.3">
      <c r="A185">
        <v>166</v>
      </c>
      <c r="B185">
        <v>-7.22</v>
      </c>
      <c r="C185">
        <v>33.340000000000003</v>
      </c>
      <c r="D185">
        <v>1.3</v>
      </c>
      <c r="E185" t="b">
        <v>1</v>
      </c>
      <c r="F185" t="b">
        <v>0</v>
      </c>
    </row>
    <row r="186" spans="1:6" x14ac:dyDescent="0.3">
      <c r="A186">
        <v>167</v>
      </c>
      <c r="B186">
        <v>0</v>
      </c>
      <c r="C186">
        <v>33.340000000000003</v>
      </c>
      <c r="D186">
        <v>1.3</v>
      </c>
      <c r="E186" t="b">
        <v>1</v>
      </c>
      <c r="F186" t="b">
        <v>0</v>
      </c>
    </row>
    <row r="187" spans="1:6" x14ac:dyDescent="0.3">
      <c r="A187">
        <v>168</v>
      </c>
      <c r="B187">
        <v>7.22</v>
      </c>
      <c r="C187">
        <v>33.340000000000003</v>
      </c>
      <c r="D187">
        <v>1.3</v>
      </c>
      <c r="E187" t="b">
        <v>1</v>
      </c>
      <c r="F187" t="b">
        <v>0</v>
      </c>
    </row>
    <row r="188" spans="1:6" x14ac:dyDescent="0.3">
      <c r="A188">
        <v>169</v>
      </c>
      <c r="B188">
        <v>14.44</v>
      </c>
      <c r="C188">
        <v>33.340000000000003</v>
      </c>
      <c r="D188">
        <v>1.3</v>
      </c>
      <c r="E188" t="b">
        <v>1</v>
      </c>
      <c r="F188" t="b">
        <v>0</v>
      </c>
    </row>
    <row r="189" spans="1:6" x14ac:dyDescent="0.3">
      <c r="A189">
        <v>170</v>
      </c>
      <c r="B189">
        <v>21.66</v>
      </c>
      <c r="C189">
        <v>33.340000000000003</v>
      </c>
      <c r="D189">
        <v>1.3</v>
      </c>
      <c r="E189" t="b">
        <v>1</v>
      </c>
      <c r="F189" t="b">
        <v>0</v>
      </c>
    </row>
    <row r="190" spans="1:6" x14ac:dyDescent="0.3">
      <c r="A190">
        <v>171</v>
      </c>
      <c r="B190">
        <v>28.88</v>
      </c>
      <c r="C190">
        <v>33.340000000000003</v>
      </c>
      <c r="D190">
        <v>1.3</v>
      </c>
      <c r="E190" t="b">
        <v>1</v>
      </c>
      <c r="F190" t="b">
        <v>0</v>
      </c>
    </row>
    <row r="191" spans="1:6" x14ac:dyDescent="0.3">
      <c r="A191">
        <v>172</v>
      </c>
      <c r="B191">
        <v>-36.655000000000001</v>
      </c>
      <c r="C191">
        <v>-28.146695028848022</v>
      </c>
      <c r="D191">
        <v>2.0266666666666664</v>
      </c>
      <c r="E191" t="b">
        <v>1</v>
      </c>
      <c r="F191" t="b">
        <v>0</v>
      </c>
    </row>
    <row r="192" spans="1:6" x14ac:dyDescent="0.3">
      <c r="A192">
        <v>173</v>
      </c>
      <c r="B192">
        <v>-42.346695028848018</v>
      </c>
      <c r="C192">
        <v>-22.455000000000002</v>
      </c>
      <c r="D192">
        <v>2.0533333333333332</v>
      </c>
      <c r="E192" t="b">
        <v>1</v>
      </c>
      <c r="F192" t="b">
        <v>0</v>
      </c>
    </row>
    <row r="193" spans="1:6" x14ac:dyDescent="0.3">
      <c r="A193">
        <v>174</v>
      </c>
      <c r="B193">
        <v>-44.43</v>
      </c>
      <c r="C193">
        <v>-14.68</v>
      </c>
      <c r="D193">
        <v>2.08</v>
      </c>
      <c r="E193" t="b">
        <v>1</v>
      </c>
      <c r="F193" t="b">
        <v>0</v>
      </c>
    </row>
    <row r="194" spans="1:6" x14ac:dyDescent="0.3">
      <c r="A194">
        <v>175</v>
      </c>
      <c r="B194">
        <v>-44.43</v>
      </c>
      <c r="C194">
        <v>-7.46</v>
      </c>
      <c r="D194">
        <v>2.1880000000000002</v>
      </c>
      <c r="E194" t="b">
        <v>1</v>
      </c>
      <c r="F194" t="b">
        <v>0</v>
      </c>
    </row>
    <row r="195" spans="1:6" x14ac:dyDescent="0.3">
      <c r="A195">
        <v>176</v>
      </c>
      <c r="B195">
        <v>-44.43</v>
      </c>
      <c r="C195">
        <v>0</v>
      </c>
      <c r="D195">
        <v>2.222</v>
      </c>
      <c r="E195" t="b">
        <v>1</v>
      </c>
      <c r="F195" t="b">
        <v>0</v>
      </c>
    </row>
    <row r="196" spans="1:6" x14ac:dyDescent="0.3">
      <c r="A196">
        <v>177</v>
      </c>
      <c r="B196">
        <v>-44.43</v>
      </c>
      <c r="C196">
        <v>7.46</v>
      </c>
      <c r="D196">
        <v>2.1880000000000002</v>
      </c>
      <c r="E196" t="b">
        <v>1</v>
      </c>
      <c r="F196" t="b">
        <v>0</v>
      </c>
    </row>
    <row r="197" spans="1:6" x14ac:dyDescent="0.3">
      <c r="A197">
        <v>178</v>
      </c>
      <c r="B197">
        <v>-44.43</v>
      </c>
      <c r="C197">
        <v>14.68</v>
      </c>
      <c r="D197">
        <v>2.08</v>
      </c>
      <c r="E197" t="b">
        <v>1</v>
      </c>
      <c r="F197" t="b">
        <v>0</v>
      </c>
    </row>
    <row r="198" spans="1:6" x14ac:dyDescent="0.3">
      <c r="A198">
        <v>179</v>
      </c>
      <c r="B198">
        <v>-42.346695028848018</v>
      </c>
      <c r="C198">
        <v>22.455000000000002</v>
      </c>
      <c r="D198">
        <v>2.0533333333333332</v>
      </c>
      <c r="E198" t="b">
        <v>1</v>
      </c>
      <c r="F198" t="b">
        <v>0</v>
      </c>
    </row>
    <row r="199" spans="1:6" x14ac:dyDescent="0.3">
      <c r="A199">
        <v>180</v>
      </c>
      <c r="B199">
        <v>-36.655000000000001</v>
      </c>
      <c r="C199">
        <v>28.146695028848022</v>
      </c>
      <c r="D199">
        <v>2.0266666666666664</v>
      </c>
      <c r="E199" t="b">
        <v>1</v>
      </c>
      <c r="F199" t="b">
        <v>0</v>
      </c>
    </row>
    <row r="200" spans="1:6" x14ac:dyDescent="0.3">
      <c r="A200">
        <v>181</v>
      </c>
      <c r="B200">
        <v>-35.229999999999997</v>
      </c>
      <c r="C200">
        <v>-25.678522628062371</v>
      </c>
      <c r="D200">
        <v>2.6419999999999999</v>
      </c>
      <c r="E200" t="b">
        <v>1</v>
      </c>
      <c r="F200" t="b">
        <v>0</v>
      </c>
    </row>
    <row r="201" spans="1:6" x14ac:dyDescent="0.3">
      <c r="A201">
        <v>182</v>
      </c>
      <c r="B201">
        <v>-39.87852262806237</v>
      </c>
      <c r="C201">
        <v>-21.03</v>
      </c>
      <c r="D201">
        <v>2.6710000000000003</v>
      </c>
      <c r="E201" t="b">
        <v>1</v>
      </c>
      <c r="F201" t="b">
        <v>0</v>
      </c>
    </row>
    <row r="202" spans="1:6" x14ac:dyDescent="0.3">
      <c r="A202">
        <v>183</v>
      </c>
      <c r="B202">
        <v>-41.58</v>
      </c>
      <c r="C202">
        <v>-14.68</v>
      </c>
      <c r="D202">
        <v>2.7</v>
      </c>
      <c r="E202" t="b">
        <v>1</v>
      </c>
      <c r="F202" t="b">
        <v>0</v>
      </c>
    </row>
    <row r="203" spans="1:6" x14ac:dyDescent="0.3">
      <c r="A203">
        <v>184</v>
      </c>
      <c r="B203">
        <v>-41.58</v>
      </c>
      <c r="C203">
        <v>-7.46</v>
      </c>
      <c r="D203">
        <v>2.8540000000000001</v>
      </c>
      <c r="E203" t="b">
        <v>1</v>
      </c>
      <c r="F203" t="b">
        <v>0</v>
      </c>
    </row>
    <row r="204" spans="1:6" x14ac:dyDescent="0.3">
      <c r="A204">
        <v>185</v>
      </c>
      <c r="B204">
        <v>-41.58</v>
      </c>
      <c r="C204">
        <v>0</v>
      </c>
      <c r="D204">
        <v>2.9140000000000001</v>
      </c>
      <c r="E204" t="b">
        <v>1</v>
      </c>
      <c r="F204" t="b">
        <v>0</v>
      </c>
    </row>
    <row r="205" spans="1:6" x14ac:dyDescent="0.3">
      <c r="A205">
        <v>186</v>
      </c>
      <c r="B205">
        <v>-41.58</v>
      </c>
      <c r="C205">
        <v>7.46</v>
      </c>
      <c r="D205">
        <v>2.8540000000000001</v>
      </c>
      <c r="E205" t="b">
        <v>1</v>
      </c>
      <c r="F205" t="b">
        <v>0</v>
      </c>
    </row>
    <row r="206" spans="1:6" x14ac:dyDescent="0.3">
      <c r="A206">
        <v>187</v>
      </c>
      <c r="B206">
        <v>-41.58</v>
      </c>
      <c r="C206">
        <v>14.68</v>
      </c>
      <c r="D206">
        <v>2.7</v>
      </c>
      <c r="E206" t="b">
        <v>1</v>
      </c>
      <c r="F206" t="b">
        <v>0</v>
      </c>
    </row>
    <row r="207" spans="1:6" x14ac:dyDescent="0.3">
      <c r="A207">
        <v>188</v>
      </c>
      <c r="B207">
        <v>-39.87852262806237</v>
      </c>
      <c r="C207">
        <v>21.03</v>
      </c>
      <c r="D207">
        <v>2.6710000000000003</v>
      </c>
      <c r="E207" t="b">
        <v>1</v>
      </c>
      <c r="F207" t="b">
        <v>0</v>
      </c>
    </row>
    <row r="208" spans="1:6" x14ac:dyDescent="0.3">
      <c r="A208">
        <v>189</v>
      </c>
      <c r="B208">
        <v>-35.229999999999997</v>
      </c>
      <c r="C208">
        <v>25.678522628062371</v>
      </c>
      <c r="D208">
        <v>2.6419999999999999</v>
      </c>
      <c r="E208" t="b">
        <v>1</v>
      </c>
      <c r="F208" t="b">
        <v>0</v>
      </c>
    </row>
    <row r="209" spans="1:6" x14ac:dyDescent="0.3">
      <c r="A209">
        <v>190</v>
      </c>
      <c r="B209">
        <v>-33.7575</v>
      </c>
      <c r="C209">
        <v>-23.128077813917198</v>
      </c>
      <c r="D209">
        <v>3.1293333333333333</v>
      </c>
      <c r="E209" t="b">
        <v>1</v>
      </c>
      <c r="F209" t="b">
        <v>0</v>
      </c>
    </row>
    <row r="210" spans="1:6" x14ac:dyDescent="0.3">
      <c r="A210">
        <v>191</v>
      </c>
      <c r="B210">
        <v>-37.328077813917197</v>
      </c>
      <c r="C210">
        <v>-19.557500000000001</v>
      </c>
      <c r="D210">
        <v>3.1646666666666663</v>
      </c>
      <c r="E210" t="b">
        <v>1</v>
      </c>
      <c r="F210" t="b">
        <v>0</v>
      </c>
    </row>
    <row r="211" spans="1:6" x14ac:dyDescent="0.3">
      <c r="A211">
        <v>192</v>
      </c>
      <c r="B211">
        <v>-38.634999999999998</v>
      </c>
      <c r="C211">
        <v>-14.68</v>
      </c>
      <c r="D211">
        <v>3.2</v>
      </c>
      <c r="E211" t="b">
        <v>1</v>
      </c>
      <c r="F211" t="b">
        <v>0</v>
      </c>
    </row>
    <row r="212" spans="1:6" x14ac:dyDescent="0.3">
      <c r="A212">
        <v>193</v>
      </c>
      <c r="B212">
        <v>-38.634999999999998</v>
      </c>
      <c r="C212">
        <v>-7.46</v>
      </c>
      <c r="D212">
        <v>3.4319999999999999</v>
      </c>
      <c r="E212" t="b">
        <v>1</v>
      </c>
      <c r="F212" t="b">
        <v>0</v>
      </c>
    </row>
    <row r="213" spans="1:6" x14ac:dyDescent="0.3">
      <c r="A213">
        <v>194</v>
      </c>
      <c r="B213">
        <v>-38.634999999999998</v>
      </c>
      <c r="C213">
        <v>0</v>
      </c>
      <c r="D213">
        <v>3.5129999999999999</v>
      </c>
      <c r="E213" t="b">
        <v>1</v>
      </c>
      <c r="F213" t="b">
        <v>0</v>
      </c>
    </row>
    <row r="214" spans="1:6" x14ac:dyDescent="0.3">
      <c r="A214">
        <v>195</v>
      </c>
      <c r="B214">
        <v>-38.634999999999998</v>
      </c>
      <c r="C214">
        <v>7.46</v>
      </c>
      <c r="D214">
        <v>3.4319999999999999</v>
      </c>
      <c r="E214" t="b">
        <v>1</v>
      </c>
      <c r="F214" t="b">
        <v>0</v>
      </c>
    </row>
    <row r="215" spans="1:6" x14ac:dyDescent="0.3">
      <c r="A215">
        <v>196</v>
      </c>
      <c r="B215">
        <v>-38.634999999999998</v>
      </c>
      <c r="C215">
        <v>14.68</v>
      </c>
      <c r="D215">
        <v>3.2</v>
      </c>
      <c r="E215" t="b">
        <v>1</v>
      </c>
      <c r="F215" t="b">
        <v>0</v>
      </c>
    </row>
    <row r="216" spans="1:6" x14ac:dyDescent="0.3">
      <c r="A216">
        <v>197</v>
      </c>
      <c r="B216">
        <v>-37.328077813917197</v>
      </c>
      <c r="C216">
        <v>19.557500000000001</v>
      </c>
      <c r="D216">
        <v>3.1646666666666663</v>
      </c>
      <c r="E216" t="b">
        <v>1</v>
      </c>
      <c r="F216" t="b">
        <v>0</v>
      </c>
    </row>
    <row r="217" spans="1:6" x14ac:dyDescent="0.3">
      <c r="A217">
        <v>198</v>
      </c>
      <c r="B217">
        <v>-33.7575</v>
      </c>
      <c r="C217">
        <v>23.128077813917198</v>
      </c>
      <c r="D217">
        <v>3.1293333333333333</v>
      </c>
      <c r="E217" t="b">
        <v>1</v>
      </c>
      <c r="F217" t="b">
        <v>0</v>
      </c>
    </row>
    <row r="218" spans="1:6" x14ac:dyDescent="0.3">
      <c r="A218">
        <v>199</v>
      </c>
      <c r="B218">
        <v>-32.244999999999997</v>
      </c>
      <c r="C218">
        <v>-20.508350967469273</v>
      </c>
      <c r="D218">
        <v>3.5086666666666666</v>
      </c>
      <c r="E218" t="b">
        <v>1</v>
      </c>
      <c r="F218" t="b">
        <v>0</v>
      </c>
    </row>
    <row r="219" spans="1:6" x14ac:dyDescent="0.3">
      <c r="A219">
        <v>200</v>
      </c>
      <c r="B219">
        <v>-34.708350967469272</v>
      </c>
      <c r="C219">
        <v>-18.045000000000002</v>
      </c>
      <c r="D219">
        <v>3.5293333333333337</v>
      </c>
      <c r="E219" t="b">
        <v>1</v>
      </c>
      <c r="F219" t="b">
        <v>0</v>
      </c>
    </row>
    <row r="220" spans="1:6" x14ac:dyDescent="0.3">
      <c r="A220">
        <v>201</v>
      </c>
      <c r="B220">
        <v>-35.61</v>
      </c>
      <c r="C220">
        <v>-14.68</v>
      </c>
      <c r="D220">
        <v>3.55</v>
      </c>
      <c r="E220" t="b">
        <v>1</v>
      </c>
      <c r="F220" t="b">
        <v>0</v>
      </c>
    </row>
    <row r="221" spans="1:6" x14ac:dyDescent="0.3">
      <c r="A221">
        <v>202</v>
      </c>
      <c r="B221">
        <v>-35.61</v>
      </c>
      <c r="C221">
        <v>-7.46</v>
      </c>
      <c r="D221">
        <v>3.8090000000000002</v>
      </c>
      <c r="E221" t="b">
        <v>1</v>
      </c>
      <c r="F221" t="b">
        <v>0</v>
      </c>
    </row>
    <row r="222" spans="1:6" x14ac:dyDescent="0.3">
      <c r="A222">
        <v>203</v>
      </c>
      <c r="B222">
        <v>-35.61</v>
      </c>
      <c r="C222">
        <v>0</v>
      </c>
      <c r="D222">
        <v>3.9049999999999998</v>
      </c>
      <c r="E222" t="b">
        <v>1</v>
      </c>
      <c r="F222" t="b">
        <v>0</v>
      </c>
    </row>
    <row r="223" spans="1:6" x14ac:dyDescent="0.3">
      <c r="A223">
        <v>204</v>
      </c>
      <c r="B223">
        <v>-35.61</v>
      </c>
      <c r="C223">
        <v>7.46</v>
      </c>
      <c r="D223">
        <v>3.8090000000000002</v>
      </c>
      <c r="E223" t="b">
        <v>1</v>
      </c>
      <c r="F223" t="b">
        <v>0</v>
      </c>
    </row>
    <row r="224" spans="1:6" x14ac:dyDescent="0.3">
      <c r="A224">
        <v>205</v>
      </c>
      <c r="B224">
        <v>-35.61</v>
      </c>
      <c r="C224">
        <v>14.68</v>
      </c>
      <c r="D224">
        <v>3.55</v>
      </c>
      <c r="E224" t="b">
        <v>1</v>
      </c>
      <c r="F224" t="b">
        <v>0</v>
      </c>
    </row>
    <row r="225" spans="1:6" x14ac:dyDescent="0.3">
      <c r="A225">
        <v>206</v>
      </c>
      <c r="B225">
        <v>-34.708350967469272</v>
      </c>
      <c r="C225">
        <v>18.045000000000002</v>
      </c>
      <c r="D225">
        <v>3.5293333333333337</v>
      </c>
      <c r="E225" t="b">
        <v>1</v>
      </c>
      <c r="F225" t="b">
        <v>0</v>
      </c>
    </row>
    <row r="226" spans="1:6" x14ac:dyDescent="0.3">
      <c r="A226">
        <v>207</v>
      </c>
      <c r="B226">
        <v>-32.244999999999997</v>
      </c>
      <c r="C226">
        <v>20.508350967469273</v>
      </c>
      <c r="D226">
        <v>3.5086666666666666</v>
      </c>
      <c r="E226" t="b">
        <v>1</v>
      </c>
      <c r="F226" t="b">
        <v>0</v>
      </c>
    </row>
    <row r="227" spans="1:6" x14ac:dyDescent="0.3">
      <c r="A227">
        <v>208</v>
      </c>
      <c r="B227">
        <v>-30.7</v>
      </c>
      <c r="C227">
        <v>-17.832332469775359</v>
      </c>
      <c r="D227">
        <v>3.8959999999999999</v>
      </c>
      <c r="E227" t="b">
        <v>1</v>
      </c>
      <c r="F227" t="b">
        <v>0</v>
      </c>
    </row>
    <row r="228" spans="1:6" x14ac:dyDescent="0.3">
      <c r="A228">
        <v>209</v>
      </c>
      <c r="B228">
        <v>-32.032332469775362</v>
      </c>
      <c r="C228">
        <v>-16.500000000000004</v>
      </c>
      <c r="D228">
        <v>3.9979999999999993</v>
      </c>
      <c r="E228" t="b">
        <v>1</v>
      </c>
      <c r="F228" t="b">
        <v>0</v>
      </c>
    </row>
    <row r="229" spans="1:6" x14ac:dyDescent="0.3">
      <c r="A229">
        <v>210</v>
      </c>
      <c r="B229">
        <v>-32.520000000000003</v>
      </c>
      <c r="C229">
        <v>-14.68</v>
      </c>
      <c r="D229">
        <v>4.0999999999999996</v>
      </c>
      <c r="E229" t="b">
        <v>1</v>
      </c>
      <c r="F229" t="b">
        <v>0</v>
      </c>
    </row>
    <row r="230" spans="1:6" x14ac:dyDescent="0.3">
      <c r="A230">
        <v>211</v>
      </c>
      <c r="B230">
        <v>-32.520000000000003</v>
      </c>
      <c r="C230">
        <v>-7.46</v>
      </c>
      <c r="D230">
        <v>4.4089999999999998</v>
      </c>
      <c r="E230" t="b">
        <v>1</v>
      </c>
      <c r="F230" t="b">
        <v>0</v>
      </c>
    </row>
    <row r="231" spans="1:6" x14ac:dyDescent="0.3">
      <c r="A231">
        <v>212</v>
      </c>
      <c r="B231">
        <v>-32.520000000000003</v>
      </c>
      <c r="C231">
        <v>0</v>
      </c>
      <c r="D231">
        <v>4.5279999999999996</v>
      </c>
      <c r="E231" t="b">
        <v>1</v>
      </c>
      <c r="F231" t="b">
        <v>0</v>
      </c>
    </row>
    <row r="232" spans="1:6" x14ac:dyDescent="0.3">
      <c r="A232">
        <v>213</v>
      </c>
      <c r="B232">
        <v>-32.520000000000003</v>
      </c>
      <c r="C232">
        <v>7.46</v>
      </c>
      <c r="D232">
        <v>4.4089999999999998</v>
      </c>
      <c r="E232" t="b">
        <v>1</v>
      </c>
      <c r="F232" t="b">
        <v>0</v>
      </c>
    </row>
    <row r="233" spans="1:6" x14ac:dyDescent="0.3">
      <c r="A233">
        <v>214</v>
      </c>
      <c r="B233">
        <v>-32.520000000000003</v>
      </c>
      <c r="C233">
        <v>14.68</v>
      </c>
      <c r="D233">
        <v>4.0999999999999996</v>
      </c>
      <c r="E233" t="b">
        <v>1</v>
      </c>
      <c r="F233" t="b">
        <v>0</v>
      </c>
    </row>
    <row r="234" spans="1:6" x14ac:dyDescent="0.3">
      <c r="A234">
        <v>215</v>
      </c>
      <c r="B234">
        <v>-32.032332469775362</v>
      </c>
      <c r="C234">
        <v>16.500000000000004</v>
      </c>
      <c r="D234">
        <v>3.9979999999999993</v>
      </c>
      <c r="E234" t="b">
        <v>1</v>
      </c>
      <c r="F234" t="b">
        <v>0</v>
      </c>
    </row>
    <row r="235" spans="1:6" x14ac:dyDescent="0.3">
      <c r="A235">
        <v>216</v>
      </c>
      <c r="B235">
        <v>-30.7</v>
      </c>
      <c r="C235">
        <v>17.832332469775359</v>
      </c>
      <c r="D235">
        <v>3.8959999999999999</v>
      </c>
      <c r="E235" t="b">
        <v>1</v>
      </c>
      <c r="F235" t="b">
        <v>0</v>
      </c>
    </row>
    <row r="236" spans="1:6" x14ac:dyDescent="0.3">
      <c r="A236">
        <v>217</v>
      </c>
      <c r="B236">
        <v>36.655000000000001</v>
      </c>
      <c r="C236">
        <v>-28.146695028848022</v>
      </c>
      <c r="D236">
        <v>2.0266666666666664</v>
      </c>
      <c r="E236" t="b">
        <v>1</v>
      </c>
      <c r="F236" t="b">
        <v>0</v>
      </c>
    </row>
    <row r="237" spans="1:6" x14ac:dyDescent="0.3">
      <c r="A237">
        <v>218</v>
      </c>
      <c r="B237">
        <v>42.346695028848018</v>
      </c>
      <c r="C237">
        <v>-22.455000000000002</v>
      </c>
      <c r="D237">
        <v>2.0533333333333332</v>
      </c>
      <c r="E237" t="b">
        <v>1</v>
      </c>
      <c r="F237" t="b">
        <v>0</v>
      </c>
    </row>
    <row r="238" spans="1:6" x14ac:dyDescent="0.3">
      <c r="A238">
        <v>219</v>
      </c>
      <c r="B238">
        <v>44.43</v>
      </c>
      <c r="C238">
        <v>-14.68</v>
      </c>
      <c r="D238">
        <v>2.08</v>
      </c>
      <c r="E238" t="b">
        <v>1</v>
      </c>
      <c r="F238" t="b">
        <v>0</v>
      </c>
    </row>
    <row r="239" spans="1:6" x14ac:dyDescent="0.3">
      <c r="A239">
        <v>220</v>
      </c>
      <c r="B239">
        <v>44.43</v>
      </c>
      <c r="C239">
        <v>-7.46</v>
      </c>
      <c r="D239">
        <v>2.1880000000000002</v>
      </c>
      <c r="E239" t="b">
        <v>1</v>
      </c>
      <c r="F239" t="b">
        <v>0</v>
      </c>
    </row>
    <row r="240" spans="1:6" x14ac:dyDescent="0.3">
      <c r="A240">
        <v>221</v>
      </c>
      <c r="B240">
        <v>44.43</v>
      </c>
      <c r="C240">
        <v>0</v>
      </c>
      <c r="D240">
        <v>2.222</v>
      </c>
      <c r="E240" t="b">
        <v>1</v>
      </c>
      <c r="F240" t="b">
        <v>0</v>
      </c>
    </row>
    <row r="241" spans="1:6" x14ac:dyDescent="0.3">
      <c r="A241">
        <v>222</v>
      </c>
      <c r="B241">
        <v>44.43</v>
      </c>
      <c r="C241">
        <v>7.46</v>
      </c>
      <c r="D241">
        <v>2.1880000000000002</v>
      </c>
      <c r="E241" t="b">
        <v>1</v>
      </c>
      <c r="F241" t="b">
        <v>0</v>
      </c>
    </row>
    <row r="242" spans="1:6" x14ac:dyDescent="0.3">
      <c r="A242">
        <v>223</v>
      </c>
      <c r="B242">
        <v>44.43</v>
      </c>
      <c r="C242">
        <v>14.68</v>
      </c>
      <c r="D242">
        <v>2.08</v>
      </c>
      <c r="E242" t="b">
        <v>1</v>
      </c>
      <c r="F242" t="b">
        <v>0</v>
      </c>
    </row>
    <row r="243" spans="1:6" x14ac:dyDescent="0.3">
      <c r="A243">
        <v>224</v>
      </c>
      <c r="B243">
        <v>42.346695028848018</v>
      </c>
      <c r="C243">
        <v>22.455000000000002</v>
      </c>
      <c r="D243">
        <v>2.0533333333333332</v>
      </c>
      <c r="E243" t="b">
        <v>1</v>
      </c>
      <c r="F243" t="b">
        <v>0</v>
      </c>
    </row>
    <row r="244" spans="1:6" x14ac:dyDescent="0.3">
      <c r="A244">
        <v>225</v>
      </c>
      <c r="B244">
        <v>36.655000000000001</v>
      </c>
      <c r="C244">
        <v>28.146695028848022</v>
      </c>
      <c r="D244">
        <v>2.0266666666666664</v>
      </c>
      <c r="E244" t="b">
        <v>1</v>
      </c>
      <c r="F244" t="b">
        <v>0</v>
      </c>
    </row>
    <row r="245" spans="1:6" x14ac:dyDescent="0.3">
      <c r="A245">
        <v>226</v>
      </c>
      <c r="B245">
        <v>35.229999999999997</v>
      </c>
      <c r="C245">
        <v>-25.678522628062371</v>
      </c>
      <c r="D245">
        <v>2.6419999999999999</v>
      </c>
      <c r="E245" t="b">
        <v>1</v>
      </c>
      <c r="F245" t="b">
        <v>0</v>
      </c>
    </row>
    <row r="246" spans="1:6" x14ac:dyDescent="0.3">
      <c r="A246">
        <v>227</v>
      </c>
      <c r="B246">
        <v>39.87852262806237</v>
      </c>
      <c r="C246">
        <v>-21.03</v>
      </c>
      <c r="D246">
        <v>2.6710000000000003</v>
      </c>
      <c r="E246" t="b">
        <v>1</v>
      </c>
      <c r="F246" t="b">
        <v>0</v>
      </c>
    </row>
    <row r="247" spans="1:6" x14ac:dyDescent="0.3">
      <c r="A247">
        <v>228</v>
      </c>
      <c r="B247">
        <v>41.58</v>
      </c>
      <c r="C247">
        <v>-14.68</v>
      </c>
      <c r="D247">
        <v>2.7</v>
      </c>
      <c r="E247" t="b">
        <v>1</v>
      </c>
      <c r="F247" t="b">
        <v>0</v>
      </c>
    </row>
    <row r="248" spans="1:6" x14ac:dyDescent="0.3">
      <c r="A248">
        <v>229</v>
      </c>
      <c r="B248">
        <v>41.58</v>
      </c>
      <c r="C248">
        <v>-7.46</v>
      </c>
      <c r="D248">
        <v>2.8540000000000001</v>
      </c>
      <c r="E248" t="b">
        <v>1</v>
      </c>
      <c r="F248" t="b">
        <v>0</v>
      </c>
    </row>
    <row r="249" spans="1:6" x14ac:dyDescent="0.3">
      <c r="A249">
        <v>230</v>
      </c>
      <c r="B249">
        <v>41.58</v>
      </c>
      <c r="C249">
        <v>0</v>
      </c>
      <c r="D249">
        <v>2.9140000000000001</v>
      </c>
      <c r="E249" t="b">
        <v>1</v>
      </c>
      <c r="F249" t="b">
        <v>0</v>
      </c>
    </row>
    <row r="250" spans="1:6" x14ac:dyDescent="0.3">
      <c r="A250">
        <v>231</v>
      </c>
      <c r="B250">
        <v>41.58</v>
      </c>
      <c r="C250">
        <v>7.46</v>
      </c>
      <c r="D250">
        <v>2.8540000000000001</v>
      </c>
      <c r="E250" t="b">
        <v>1</v>
      </c>
      <c r="F250" t="b">
        <v>0</v>
      </c>
    </row>
    <row r="251" spans="1:6" x14ac:dyDescent="0.3">
      <c r="A251">
        <v>232</v>
      </c>
      <c r="B251">
        <v>41.58</v>
      </c>
      <c r="C251">
        <v>14.68</v>
      </c>
      <c r="D251">
        <v>2.7</v>
      </c>
      <c r="E251" t="b">
        <v>1</v>
      </c>
      <c r="F251" t="b">
        <v>0</v>
      </c>
    </row>
    <row r="252" spans="1:6" x14ac:dyDescent="0.3">
      <c r="A252">
        <v>233</v>
      </c>
      <c r="B252">
        <v>39.87852262806237</v>
      </c>
      <c r="C252">
        <v>21.03</v>
      </c>
      <c r="D252">
        <v>2.6710000000000003</v>
      </c>
      <c r="E252" t="b">
        <v>1</v>
      </c>
      <c r="F252" t="b">
        <v>0</v>
      </c>
    </row>
    <row r="253" spans="1:6" x14ac:dyDescent="0.3">
      <c r="A253">
        <v>234</v>
      </c>
      <c r="B253">
        <v>35.229999999999997</v>
      </c>
      <c r="C253">
        <v>25.678522628062371</v>
      </c>
      <c r="D253">
        <v>2.6419999999999999</v>
      </c>
      <c r="E253" t="b">
        <v>1</v>
      </c>
      <c r="F253" t="b">
        <v>0</v>
      </c>
    </row>
    <row r="254" spans="1:6" x14ac:dyDescent="0.3">
      <c r="A254">
        <v>235</v>
      </c>
      <c r="B254">
        <v>33.7575</v>
      </c>
      <c r="C254">
        <v>-23.128077813917198</v>
      </c>
      <c r="D254">
        <v>3.1293333333333333</v>
      </c>
      <c r="E254" t="b">
        <v>1</v>
      </c>
      <c r="F254" t="b">
        <v>0</v>
      </c>
    </row>
    <row r="255" spans="1:6" x14ac:dyDescent="0.3">
      <c r="A255">
        <v>236</v>
      </c>
      <c r="B255">
        <v>37.328077813917197</v>
      </c>
      <c r="C255">
        <v>-19.557500000000001</v>
      </c>
      <c r="D255">
        <v>3.1646666666666663</v>
      </c>
      <c r="E255" t="b">
        <v>1</v>
      </c>
      <c r="F255" t="b">
        <v>0</v>
      </c>
    </row>
    <row r="256" spans="1:6" x14ac:dyDescent="0.3">
      <c r="A256">
        <v>237</v>
      </c>
      <c r="B256">
        <v>38.634999999999998</v>
      </c>
      <c r="C256">
        <v>-14.68</v>
      </c>
      <c r="D256">
        <v>3.2</v>
      </c>
      <c r="E256" t="b">
        <v>1</v>
      </c>
      <c r="F256" t="b">
        <v>0</v>
      </c>
    </row>
    <row r="257" spans="1:6" x14ac:dyDescent="0.3">
      <c r="A257">
        <v>238</v>
      </c>
      <c r="B257">
        <v>38.634999999999998</v>
      </c>
      <c r="C257">
        <v>-7.46</v>
      </c>
      <c r="D257">
        <v>3.4319999999999999</v>
      </c>
      <c r="E257" t="b">
        <v>1</v>
      </c>
      <c r="F257" t="b">
        <v>0</v>
      </c>
    </row>
    <row r="258" spans="1:6" x14ac:dyDescent="0.3">
      <c r="A258">
        <v>239</v>
      </c>
      <c r="B258">
        <v>38.634999999999998</v>
      </c>
      <c r="C258">
        <v>0</v>
      </c>
      <c r="D258">
        <v>3.5129999999999999</v>
      </c>
      <c r="E258" t="b">
        <v>1</v>
      </c>
      <c r="F258" t="b">
        <v>0</v>
      </c>
    </row>
    <row r="259" spans="1:6" x14ac:dyDescent="0.3">
      <c r="A259">
        <v>240</v>
      </c>
      <c r="B259">
        <v>38.634999999999998</v>
      </c>
      <c r="C259">
        <v>7.46</v>
      </c>
      <c r="D259">
        <v>3.4319999999999999</v>
      </c>
      <c r="E259" t="b">
        <v>1</v>
      </c>
      <c r="F259" t="b">
        <v>0</v>
      </c>
    </row>
    <row r="260" spans="1:6" x14ac:dyDescent="0.3">
      <c r="A260">
        <v>241</v>
      </c>
      <c r="B260">
        <v>38.634999999999998</v>
      </c>
      <c r="C260">
        <v>14.68</v>
      </c>
      <c r="D260">
        <v>3.2</v>
      </c>
      <c r="E260" t="b">
        <v>1</v>
      </c>
      <c r="F260" t="b">
        <v>0</v>
      </c>
    </row>
    <row r="261" spans="1:6" x14ac:dyDescent="0.3">
      <c r="A261">
        <v>242</v>
      </c>
      <c r="B261">
        <v>37.328077813917197</v>
      </c>
      <c r="C261">
        <v>19.557500000000001</v>
      </c>
      <c r="D261">
        <v>3.1646666666666663</v>
      </c>
      <c r="E261" t="b">
        <v>1</v>
      </c>
      <c r="F261" t="b">
        <v>0</v>
      </c>
    </row>
    <row r="262" spans="1:6" x14ac:dyDescent="0.3">
      <c r="A262">
        <v>243</v>
      </c>
      <c r="B262">
        <v>33.7575</v>
      </c>
      <c r="C262">
        <v>23.128077813917198</v>
      </c>
      <c r="D262">
        <v>3.1293333333333333</v>
      </c>
      <c r="E262" t="b">
        <v>1</v>
      </c>
      <c r="F262" t="b">
        <v>0</v>
      </c>
    </row>
    <row r="263" spans="1:6" x14ac:dyDescent="0.3">
      <c r="A263">
        <v>244</v>
      </c>
      <c r="B263">
        <v>32.244999999999997</v>
      </c>
      <c r="C263">
        <v>-20.508350967469273</v>
      </c>
      <c r="D263">
        <v>3.5086666666666666</v>
      </c>
      <c r="E263" t="b">
        <v>1</v>
      </c>
      <c r="F263" t="b">
        <v>0</v>
      </c>
    </row>
    <row r="264" spans="1:6" x14ac:dyDescent="0.3">
      <c r="A264">
        <v>245</v>
      </c>
      <c r="B264">
        <v>34.708350967469272</v>
      </c>
      <c r="C264">
        <v>-18.045000000000002</v>
      </c>
      <c r="D264">
        <v>3.5293333333333337</v>
      </c>
      <c r="E264" t="b">
        <v>1</v>
      </c>
      <c r="F264" t="b">
        <v>0</v>
      </c>
    </row>
    <row r="265" spans="1:6" x14ac:dyDescent="0.3">
      <c r="A265">
        <v>246</v>
      </c>
      <c r="B265">
        <v>35.61</v>
      </c>
      <c r="C265">
        <v>-14.68</v>
      </c>
      <c r="D265">
        <v>3.55</v>
      </c>
      <c r="E265" t="b">
        <v>1</v>
      </c>
      <c r="F265" t="b">
        <v>0</v>
      </c>
    </row>
    <row r="266" spans="1:6" x14ac:dyDescent="0.3">
      <c r="A266">
        <v>247</v>
      </c>
      <c r="B266">
        <v>35.61</v>
      </c>
      <c r="C266">
        <v>-7.46</v>
      </c>
      <c r="D266">
        <v>3.8090000000000002</v>
      </c>
      <c r="E266" t="b">
        <v>1</v>
      </c>
      <c r="F266" t="b">
        <v>0</v>
      </c>
    </row>
    <row r="267" spans="1:6" x14ac:dyDescent="0.3">
      <c r="A267">
        <v>248</v>
      </c>
      <c r="B267">
        <v>35.61</v>
      </c>
      <c r="C267">
        <v>0</v>
      </c>
      <c r="D267">
        <v>3.9049999999999998</v>
      </c>
      <c r="E267" t="b">
        <v>1</v>
      </c>
      <c r="F267" t="b">
        <v>0</v>
      </c>
    </row>
    <row r="268" spans="1:6" x14ac:dyDescent="0.3">
      <c r="A268">
        <v>249</v>
      </c>
      <c r="B268">
        <v>35.61</v>
      </c>
      <c r="C268">
        <v>7.46</v>
      </c>
      <c r="D268">
        <v>3.8090000000000002</v>
      </c>
      <c r="E268" t="b">
        <v>1</v>
      </c>
      <c r="F268" t="b">
        <v>0</v>
      </c>
    </row>
    <row r="269" spans="1:6" x14ac:dyDescent="0.3">
      <c r="A269">
        <v>250</v>
      </c>
      <c r="B269">
        <v>35.61</v>
      </c>
      <c r="C269">
        <v>14.68</v>
      </c>
      <c r="D269">
        <v>3.55</v>
      </c>
      <c r="E269" t="b">
        <v>1</v>
      </c>
      <c r="F269" t="b">
        <v>0</v>
      </c>
    </row>
    <row r="270" spans="1:6" x14ac:dyDescent="0.3">
      <c r="A270">
        <v>251</v>
      </c>
      <c r="B270">
        <v>34.708350967469272</v>
      </c>
      <c r="C270">
        <v>18.045000000000002</v>
      </c>
      <c r="D270">
        <v>3.5293333333333337</v>
      </c>
      <c r="E270" t="b">
        <v>1</v>
      </c>
      <c r="F270" t="b">
        <v>0</v>
      </c>
    </row>
    <row r="271" spans="1:6" x14ac:dyDescent="0.3">
      <c r="A271">
        <v>252</v>
      </c>
      <c r="B271">
        <v>32.244999999999997</v>
      </c>
      <c r="C271">
        <v>20.508350967469273</v>
      </c>
      <c r="D271">
        <v>3.5086666666666666</v>
      </c>
      <c r="E271" t="b">
        <v>1</v>
      </c>
      <c r="F271" t="b">
        <v>0</v>
      </c>
    </row>
    <row r="272" spans="1:6" x14ac:dyDescent="0.3">
      <c r="A272">
        <v>253</v>
      </c>
      <c r="B272">
        <v>30.7</v>
      </c>
      <c r="C272">
        <v>-17.832332469775359</v>
      </c>
      <c r="D272">
        <v>3.8959999999999999</v>
      </c>
      <c r="E272" t="b">
        <v>1</v>
      </c>
      <c r="F272" t="b">
        <v>0</v>
      </c>
    </row>
    <row r="273" spans="1:6" x14ac:dyDescent="0.3">
      <c r="A273">
        <v>254</v>
      </c>
      <c r="B273">
        <v>32.032332469775362</v>
      </c>
      <c r="C273">
        <v>-16.500000000000004</v>
      </c>
      <c r="D273">
        <v>3.9979999999999993</v>
      </c>
      <c r="E273" t="b">
        <v>1</v>
      </c>
      <c r="F273" t="b">
        <v>0</v>
      </c>
    </row>
    <row r="274" spans="1:6" x14ac:dyDescent="0.3">
      <c r="A274">
        <v>255</v>
      </c>
      <c r="B274">
        <v>32.520000000000003</v>
      </c>
      <c r="C274">
        <v>-14.68</v>
      </c>
      <c r="D274">
        <v>4.0999999999999996</v>
      </c>
      <c r="E274" t="b">
        <v>1</v>
      </c>
      <c r="F274" t="b">
        <v>0</v>
      </c>
    </row>
    <row r="275" spans="1:6" x14ac:dyDescent="0.3">
      <c r="A275">
        <v>256</v>
      </c>
      <c r="B275">
        <v>32.520000000000003</v>
      </c>
      <c r="C275">
        <v>-7.46</v>
      </c>
      <c r="D275">
        <v>4.4089999999999998</v>
      </c>
      <c r="E275" t="b">
        <v>1</v>
      </c>
      <c r="F275" t="b">
        <v>0</v>
      </c>
    </row>
    <row r="276" spans="1:6" x14ac:dyDescent="0.3">
      <c r="A276">
        <v>257</v>
      </c>
      <c r="B276">
        <v>32.520000000000003</v>
      </c>
      <c r="C276">
        <v>0</v>
      </c>
      <c r="D276">
        <v>4.5279999999999996</v>
      </c>
      <c r="E276" t="b">
        <v>1</v>
      </c>
      <c r="F276" t="b">
        <v>0</v>
      </c>
    </row>
    <row r="277" spans="1:6" x14ac:dyDescent="0.3">
      <c r="A277">
        <v>258</v>
      </c>
      <c r="B277">
        <v>32.520000000000003</v>
      </c>
      <c r="C277">
        <v>7.46</v>
      </c>
      <c r="D277">
        <v>4.4089999999999998</v>
      </c>
      <c r="E277" t="b">
        <v>1</v>
      </c>
      <c r="F277" t="b">
        <v>0</v>
      </c>
    </row>
    <row r="278" spans="1:6" x14ac:dyDescent="0.3">
      <c r="A278">
        <v>259</v>
      </c>
      <c r="B278">
        <v>32.520000000000003</v>
      </c>
      <c r="C278">
        <v>14.68</v>
      </c>
      <c r="D278">
        <v>4.0999999999999996</v>
      </c>
      <c r="E278" t="b">
        <v>1</v>
      </c>
      <c r="F278" t="b">
        <v>0</v>
      </c>
    </row>
    <row r="279" spans="1:6" x14ac:dyDescent="0.3">
      <c r="A279">
        <v>260</v>
      </c>
      <c r="B279">
        <v>32.032332469775362</v>
      </c>
      <c r="C279">
        <v>16.500000000000004</v>
      </c>
      <c r="D279">
        <v>3.9979999999999993</v>
      </c>
      <c r="E279" t="b">
        <v>1</v>
      </c>
      <c r="F279" t="b">
        <v>0</v>
      </c>
    </row>
    <row r="280" spans="1:6" x14ac:dyDescent="0.3">
      <c r="A280">
        <v>261</v>
      </c>
      <c r="B280">
        <v>30.7</v>
      </c>
      <c r="C280">
        <v>17.832332469775359</v>
      </c>
      <c r="D280">
        <v>3.8959999999999999</v>
      </c>
      <c r="E280" t="b">
        <v>1</v>
      </c>
      <c r="F28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B1B0-C172-4AF0-8CF4-961FDAA41063}">
  <dimension ref="A1:I469"/>
  <sheetViews>
    <sheetView topLeftCell="A70" workbookViewId="0">
      <selection activeCell="B192" sqref="B192"/>
    </sheetView>
  </sheetViews>
  <sheetFormatPr defaultColWidth="11.5546875" defaultRowHeight="14.4" x14ac:dyDescent="0.3"/>
  <cols>
    <col min="2" max="2" width="22.44140625" customWidth="1"/>
    <col min="4" max="4" width="26.21875" customWidth="1"/>
  </cols>
  <sheetData>
    <row r="1" spans="1:9" x14ac:dyDescent="0.3">
      <c r="A1" s="22" t="s">
        <v>9</v>
      </c>
      <c r="B1" s="22" t="s">
        <v>47</v>
      </c>
      <c r="C1" s="22" t="s">
        <v>46</v>
      </c>
      <c r="D1" s="22" t="s">
        <v>14</v>
      </c>
      <c r="E1" s="22" t="s">
        <v>19</v>
      </c>
      <c r="F1" s="22" t="s">
        <v>15</v>
      </c>
      <c r="G1" s="22" t="s">
        <v>16</v>
      </c>
      <c r="H1" s="22" t="s">
        <v>17</v>
      </c>
      <c r="I1" s="22" t="s">
        <v>18</v>
      </c>
    </row>
    <row r="2" spans="1:9" x14ac:dyDescent="0.3">
      <c r="A2" s="22">
        <v>1</v>
      </c>
      <c r="B2" s="22" t="s">
        <v>50</v>
      </c>
      <c r="C2" s="22" t="s">
        <v>24</v>
      </c>
      <c r="D2" s="22" t="s">
        <v>35</v>
      </c>
      <c r="E2" s="22" t="s">
        <v>20</v>
      </c>
      <c r="F2" s="22">
        <v>174</v>
      </c>
      <c r="G2" s="22">
        <v>183</v>
      </c>
      <c r="H2" s="22">
        <v>0.73599999999999999</v>
      </c>
      <c r="I2" s="22">
        <v>0.98499999999999999</v>
      </c>
    </row>
    <row r="3" spans="1:9" x14ac:dyDescent="0.3">
      <c r="A3" s="22">
        <v>2</v>
      </c>
      <c r="B3" s="22" t="s">
        <v>51</v>
      </c>
      <c r="C3" s="22" t="s">
        <v>24</v>
      </c>
      <c r="D3" s="22" t="s">
        <v>35</v>
      </c>
      <c r="E3" s="22" t="s">
        <v>20</v>
      </c>
      <c r="F3" s="22">
        <v>183</v>
      </c>
      <c r="G3" s="22">
        <v>192</v>
      </c>
      <c r="H3" s="22">
        <v>0.73599999999999999</v>
      </c>
      <c r="I3" s="22">
        <v>0.98499999999999999</v>
      </c>
    </row>
    <row r="4" spans="1:9" x14ac:dyDescent="0.3">
      <c r="A4" s="22">
        <v>3</v>
      </c>
      <c r="B4" s="22" t="s">
        <v>52</v>
      </c>
      <c r="C4" s="22" t="s">
        <v>24</v>
      </c>
      <c r="D4" s="22" t="s">
        <v>35</v>
      </c>
      <c r="E4" s="22" t="s">
        <v>20</v>
      </c>
      <c r="F4" s="22">
        <v>192</v>
      </c>
      <c r="G4" s="22">
        <v>201</v>
      </c>
      <c r="H4" s="22">
        <v>0.73599999999999999</v>
      </c>
      <c r="I4" s="22">
        <v>0.98499999999999999</v>
      </c>
    </row>
    <row r="5" spans="1:9" x14ac:dyDescent="0.3">
      <c r="A5" s="22">
        <v>4</v>
      </c>
      <c r="B5" s="22" t="s">
        <v>53</v>
      </c>
      <c r="C5" s="22" t="s">
        <v>24</v>
      </c>
      <c r="D5" s="22" t="s">
        <v>35</v>
      </c>
      <c r="E5" s="22" t="s">
        <v>20</v>
      </c>
      <c r="F5" s="22">
        <v>201</v>
      </c>
      <c r="G5" s="22">
        <v>210</v>
      </c>
      <c r="H5" s="22">
        <v>0.73599999999999999</v>
      </c>
      <c r="I5" s="22">
        <v>0.98499999999999999</v>
      </c>
    </row>
    <row r="6" spans="1:9" x14ac:dyDescent="0.3">
      <c r="A6" s="22">
        <v>5</v>
      </c>
      <c r="B6" s="22" t="s">
        <v>54</v>
      </c>
      <c r="C6" s="22" t="s">
        <v>24</v>
      </c>
      <c r="D6" s="22" t="s">
        <v>35</v>
      </c>
      <c r="E6" s="22" t="s">
        <v>20</v>
      </c>
      <c r="F6" s="22">
        <v>210</v>
      </c>
      <c r="G6" s="22">
        <v>46</v>
      </c>
      <c r="H6" s="22">
        <v>0.73599999999999999</v>
      </c>
      <c r="I6" s="22">
        <v>0.98499999999999999</v>
      </c>
    </row>
    <row r="7" spans="1:9" x14ac:dyDescent="0.3">
      <c r="A7" s="22">
        <v>6</v>
      </c>
      <c r="B7" s="22" t="s">
        <v>55</v>
      </c>
      <c r="C7" s="22" t="s">
        <v>24</v>
      </c>
      <c r="D7" s="22" t="s">
        <v>35</v>
      </c>
      <c r="E7" s="22" t="s">
        <v>20</v>
      </c>
      <c r="F7" s="22">
        <v>46</v>
      </c>
      <c r="G7" s="22">
        <v>47</v>
      </c>
      <c r="H7" s="22">
        <v>0.73599999999999999</v>
      </c>
      <c r="I7" s="22">
        <v>0.98499999999999999</v>
      </c>
    </row>
    <row r="8" spans="1:9" x14ac:dyDescent="0.3">
      <c r="A8" s="22">
        <v>7</v>
      </c>
      <c r="B8" s="22" t="s">
        <v>56</v>
      </c>
      <c r="C8" s="22" t="s">
        <v>24</v>
      </c>
      <c r="D8" s="22" t="s">
        <v>35</v>
      </c>
      <c r="E8" s="22" t="s">
        <v>20</v>
      </c>
      <c r="F8" s="22">
        <v>47</v>
      </c>
      <c r="G8" s="22">
        <v>48</v>
      </c>
      <c r="H8" s="22">
        <v>0.73599999999999999</v>
      </c>
      <c r="I8" s="22">
        <v>0.98499999999999999</v>
      </c>
    </row>
    <row r="9" spans="1:9" x14ac:dyDescent="0.3">
      <c r="A9" s="22">
        <v>8</v>
      </c>
      <c r="B9" s="22" t="s">
        <v>57</v>
      </c>
      <c r="C9" s="22" t="s">
        <v>24</v>
      </c>
      <c r="D9" s="22" t="s">
        <v>35</v>
      </c>
      <c r="E9" s="22" t="s">
        <v>20</v>
      </c>
      <c r="F9" s="22">
        <v>48</v>
      </c>
      <c r="G9" s="22">
        <v>49</v>
      </c>
      <c r="H9" s="22">
        <v>0.73599999999999999</v>
      </c>
      <c r="I9" s="22">
        <v>0.98499999999999999</v>
      </c>
    </row>
    <row r="10" spans="1:9" x14ac:dyDescent="0.3">
      <c r="A10" s="22">
        <v>9</v>
      </c>
      <c r="B10" s="22" t="s">
        <v>58</v>
      </c>
      <c r="C10" s="22" t="s">
        <v>24</v>
      </c>
      <c r="D10" s="22" t="s">
        <v>35</v>
      </c>
      <c r="E10" s="22" t="s">
        <v>20</v>
      </c>
      <c r="F10" s="22">
        <v>49</v>
      </c>
      <c r="G10" s="22">
        <v>50</v>
      </c>
      <c r="H10" s="22">
        <v>0.73599999999999999</v>
      </c>
      <c r="I10" s="22">
        <v>0.98499999999999999</v>
      </c>
    </row>
    <row r="11" spans="1:9" x14ac:dyDescent="0.3">
      <c r="A11" s="22">
        <v>10</v>
      </c>
      <c r="B11" s="22" t="s">
        <v>59</v>
      </c>
      <c r="C11" s="22" t="s">
        <v>24</v>
      </c>
      <c r="D11" s="22" t="s">
        <v>35</v>
      </c>
      <c r="E11" s="22" t="s">
        <v>20</v>
      </c>
      <c r="F11" s="22">
        <v>50</v>
      </c>
      <c r="G11" s="22">
        <v>51</v>
      </c>
      <c r="H11" s="22">
        <v>0.73599999999999999</v>
      </c>
      <c r="I11" s="22">
        <v>0.98499999999999999</v>
      </c>
    </row>
    <row r="12" spans="1:9" x14ac:dyDescent="0.3">
      <c r="A12" s="22">
        <v>11</v>
      </c>
      <c r="B12" s="22" t="s">
        <v>60</v>
      </c>
      <c r="C12" s="22" t="s">
        <v>24</v>
      </c>
      <c r="D12" s="22" t="s">
        <v>35</v>
      </c>
      <c r="E12" s="22" t="s">
        <v>20</v>
      </c>
      <c r="F12" s="22">
        <v>51</v>
      </c>
      <c r="G12" s="22">
        <v>52</v>
      </c>
      <c r="H12" s="22">
        <v>0.73599999999999999</v>
      </c>
      <c r="I12" s="22">
        <v>0.98499999999999999</v>
      </c>
    </row>
    <row r="13" spans="1:9" x14ac:dyDescent="0.3">
      <c r="A13" s="22">
        <v>12</v>
      </c>
      <c r="B13" s="22" t="s">
        <v>61</v>
      </c>
      <c r="C13" s="22" t="s">
        <v>24</v>
      </c>
      <c r="D13" s="22" t="s">
        <v>35</v>
      </c>
      <c r="E13" s="22" t="s">
        <v>20</v>
      </c>
      <c r="F13" s="22">
        <v>52</v>
      </c>
      <c r="G13" s="22">
        <v>53</v>
      </c>
      <c r="H13" s="22">
        <v>0.73599999999999999</v>
      </c>
      <c r="I13" s="22">
        <v>0.98499999999999999</v>
      </c>
    </row>
    <row r="14" spans="1:9" x14ac:dyDescent="0.3">
      <c r="A14" s="22">
        <v>13</v>
      </c>
      <c r="B14" s="22" t="s">
        <v>62</v>
      </c>
      <c r="C14" s="22" t="s">
        <v>24</v>
      </c>
      <c r="D14" s="22" t="s">
        <v>35</v>
      </c>
      <c r="E14" s="22" t="s">
        <v>20</v>
      </c>
      <c r="F14" s="22">
        <v>53</v>
      </c>
      <c r="G14" s="22">
        <v>54</v>
      </c>
      <c r="H14" s="22">
        <v>0.73599999999999999</v>
      </c>
      <c r="I14" s="22">
        <v>0.98499999999999999</v>
      </c>
    </row>
    <row r="15" spans="1:9" x14ac:dyDescent="0.3">
      <c r="A15" s="22">
        <v>14</v>
      </c>
      <c r="B15" s="22" t="s">
        <v>63</v>
      </c>
      <c r="C15" s="22" t="s">
        <v>24</v>
      </c>
      <c r="D15" s="22" t="s">
        <v>35</v>
      </c>
      <c r="E15" s="22" t="s">
        <v>20</v>
      </c>
      <c r="F15" s="22">
        <v>54</v>
      </c>
      <c r="G15" s="22">
        <v>255</v>
      </c>
      <c r="H15" s="22">
        <v>0.73599999999999999</v>
      </c>
      <c r="I15" s="22">
        <v>0.98499999999999999</v>
      </c>
    </row>
    <row r="16" spans="1:9" x14ac:dyDescent="0.3">
      <c r="A16" s="22">
        <v>15</v>
      </c>
      <c r="B16" s="22" t="s">
        <v>64</v>
      </c>
      <c r="C16" s="22" t="s">
        <v>24</v>
      </c>
      <c r="D16" s="22" t="s">
        <v>35</v>
      </c>
      <c r="E16" s="22" t="s">
        <v>20</v>
      </c>
      <c r="F16" s="22">
        <v>255</v>
      </c>
      <c r="G16" s="22">
        <v>246</v>
      </c>
      <c r="H16" s="22">
        <v>0.73599999999999999</v>
      </c>
      <c r="I16" s="22">
        <v>0.98499999999999999</v>
      </c>
    </row>
    <row r="17" spans="1:9" x14ac:dyDescent="0.3">
      <c r="A17" s="22">
        <v>16</v>
      </c>
      <c r="B17" s="22" t="s">
        <v>65</v>
      </c>
      <c r="C17" s="22" t="s">
        <v>24</v>
      </c>
      <c r="D17" s="22" t="s">
        <v>35</v>
      </c>
      <c r="E17" s="22" t="s">
        <v>20</v>
      </c>
      <c r="F17" s="22">
        <v>246</v>
      </c>
      <c r="G17" s="22">
        <v>237</v>
      </c>
      <c r="H17" s="22">
        <v>0.73599999999999999</v>
      </c>
      <c r="I17" s="22">
        <v>0.98499999999999999</v>
      </c>
    </row>
    <row r="18" spans="1:9" x14ac:dyDescent="0.3">
      <c r="A18" s="22">
        <v>17</v>
      </c>
      <c r="B18" s="22" t="s">
        <v>66</v>
      </c>
      <c r="C18" s="22" t="s">
        <v>24</v>
      </c>
      <c r="D18" s="22" t="s">
        <v>35</v>
      </c>
      <c r="E18" s="22" t="s">
        <v>20</v>
      </c>
      <c r="F18" s="22">
        <v>237</v>
      </c>
      <c r="G18" s="22">
        <v>228</v>
      </c>
      <c r="H18" s="22">
        <v>0.73599999999999999</v>
      </c>
      <c r="I18" s="22">
        <v>0.98499999999999999</v>
      </c>
    </row>
    <row r="19" spans="1:9" x14ac:dyDescent="0.3">
      <c r="A19" s="22">
        <v>18</v>
      </c>
      <c r="B19" s="22" t="s">
        <v>67</v>
      </c>
      <c r="C19" s="22" t="s">
        <v>24</v>
      </c>
      <c r="D19" s="22" t="s">
        <v>35</v>
      </c>
      <c r="E19" s="22" t="s">
        <v>20</v>
      </c>
      <c r="F19" s="22">
        <v>228</v>
      </c>
      <c r="G19" s="22">
        <v>219</v>
      </c>
      <c r="H19" s="22">
        <v>0.73599999999999999</v>
      </c>
      <c r="I19" s="22">
        <v>0.98499999999999999</v>
      </c>
    </row>
    <row r="20" spans="1:9" x14ac:dyDescent="0.3">
      <c r="A20" s="22">
        <v>19</v>
      </c>
      <c r="B20" s="22" t="s">
        <v>68</v>
      </c>
      <c r="C20" s="22" t="s">
        <v>25</v>
      </c>
      <c r="D20" s="22" t="s">
        <v>35</v>
      </c>
      <c r="E20" s="22" t="s">
        <v>20</v>
      </c>
      <c r="F20" s="22">
        <v>178</v>
      </c>
      <c r="G20" s="22">
        <v>187</v>
      </c>
      <c r="H20" s="22">
        <v>0.73599999999999999</v>
      </c>
      <c r="I20" s="22">
        <v>0.98499999999999999</v>
      </c>
    </row>
    <row r="21" spans="1:9" x14ac:dyDescent="0.3">
      <c r="A21" s="22">
        <v>20</v>
      </c>
      <c r="B21" s="22" t="s">
        <v>69</v>
      </c>
      <c r="C21" s="22" t="s">
        <v>25</v>
      </c>
      <c r="D21" s="22" t="s">
        <v>35</v>
      </c>
      <c r="E21" s="22" t="s">
        <v>20</v>
      </c>
      <c r="F21" s="22">
        <v>187</v>
      </c>
      <c r="G21" s="22">
        <v>196</v>
      </c>
      <c r="H21" s="22">
        <v>0.73599999999999999</v>
      </c>
      <c r="I21" s="22">
        <v>0.98499999999999999</v>
      </c>
    </row>
    <row r="22" spans="1:9" x14ac:dyDescent="0.3">
      <c r="A22" s="22">
        <v>21</v>
      </c>
      <c r="B22" s="22" t="s">
        <v>70</v>
      </c>
      <c r="C22" s="22" t="s">
        <v>25</v>
      </c>
      <c r="D22" s="22" t="s">
        <v>35</v>
      </c>
      <c r="E22" s="22" t="s">
        <v>20</v>
      </c>
      <c r="F22" s="22">
        <v>196</v>
      </c>
      <c r="G22" s="22">
        <v>205</v>
      </c>
      <c r="H22" s="22">
        <v>0.73599999999999999</v>
      </c>
      <c r="I22" s="22">
        <v>0.98499999999999999</v>
      </c>
    </row>
    <row r="23" spans="1:9" x14ac:dyDescent="0.3">
      <c r="A23" s="22">
        <v>22</v>
      </c>
      <c r="B23" s="22" t="s">
        <v>71</v>
      </c>
      <c r="C23" s="22" t="s">
        <v>25</v>
      </c>
      <c r="D23" s="22" t="s">
        <v>35</v>
      </c>
      <c r="E23" s="22" t="s">
        <v>20</v>
      </c>
      <c r="F23" s="22">
        <v>205</v>
      </c>
      <c r="G23" s="22">
        <v>214</v>
      </c>
      <c r="H23" s="22">
        <v>0.73599999999999999</v>
      </c>
      <c r="I23" s="22">
        <v>0.98499999999999999</v>
      </c>
    </row>
    <row r="24" spans="1:9" x14ac:dyDescent="0.3">
      <c r="A24" s="22">
        <v>23</v>
      </c>
      <c r="B24" s="22" t="s">
        <v>72</v>
      </c>
      <c r="C24" s="22" t="s">
        <v>25</v>
      </c>
      <c r="D24" s="22" t="s">
        <v>35</v>
      </c>
      <c r="E24" s="22" t="s">
        <v>20</v>
      </c>
      <c r="F24" s="22">
        <v>214</v>
      </c>
      <c r="G24" s="22">
        <v>118</v>
      </c>
      <c r="H24" s="22">
        <v>0.73599999999999999</v>
      </c>
      <c r="I24" s="22">
        <v>0.98499999999999999</v>
      </c>
    </row>
    <row r="25" spans="1:9" x14ac:dyDescent="0.3">
      <c r="A25" s="22">
        <v>24</v>
      </c>
      <c r="B25" s="22" t="s">
        <v>73</v>
      </c>
      <c r="C25" s="22" t="s">
        <v>25</v>
      </c>
      <c r="D25" s="22" t="s">
        <v>35</v>
      </c>
      <c r="E25" s="22" t="s">
        <v>20</v>
      </c>
      <c r="F25" s="22">
        <v>118</v>
      </c>
      <c r="G25" s="22">
        <v>119</v>
      </c>
      <c r="H25" s="22">
        <v>0.73599999999999999</v>
      </c>
      <c r="I25" s="22">
        <v>0.98499999999999999</v>
      </c>
    </row>
    <row r="26" spans="1:9" x14ac:dyDescent="0.3">
      <c r="A26" s="22">
        <v>25</v>
      </c>
      <c r="B26" s="22" t="s">
        <v>74</v>
      </c>
      <c r="C26" s="22" t="s">
        <v>25</v>
      </c>
      <c r="D26" s="22" t="s">
        <v>35</v>
      </c>
      <c r="E26" s="22" t="s">
        <v>20</v>
      </c>
      <c r="F26" s="22">
        <v>119</v>
      </c>
      <c r="G26" s="22">
        <v>120</v>
      </c>
      <c r="H26" s="22">
        <v>0.73599999999999999</v>
      </c>
      <c r="I26" s="22">
        <v>0.98499999999999999</v>
      </c>
    </row>
    <row r="27" spans="1:9" x14ac:dyDescent="0.3">
      <c r="A27" s="22">
        <v>26</v>
      </c>
      <c r="B27" s="22" t="s">
        <v>75</v>
      </c>
      <c r="C27" s="22" t="s">
        <v>25</v>
      </c>
      <c r="D27" s="22" t="s">
        <v>35</v>
      </c>
      <c r="E27" s="22" t="s">
        <v>20</v>
      </c>
      <c r="F27" s="22">
        <v>120</v>
      </c>
      <c r="G27" s="22">
        <v>121</v>
      </c>
      <c r="H27" s="22">
        <v>0.73599999999999999</v>
      </c>
      <c r="I27" s="22">
        <v>0.98499999999999999</v>
      </c>
    </row>
    <row r="28" spans="1:9" x14ac:dyDescent="0.3">
      <c r="A28" s="22">
        <v>27</v>
      </c>
      <c r="B28" s="22" t="s">
        <v>76</v>
      </c>
      <c r="C28" s="22" t="s">
        <v>25</v>
      </c>
      <c r="D28" s="22" t="s">
        <v>35</v>
      </c>
      <c r="E28" s="22" t="s">
        <v>20</v>
      </c>
      <c r="F28" s="22">
        <v>121</v>
      </c>
      <c r="G28" s="22">
        <v>122</v>
      </c>
      <c r="H28" s="22">
        <v>0.73599999999999999</v>
      </c>
      <c r="I28" s="22">
        <v>0.98499999999999999</v>
      </c>
    </row>
    <row r="29" spans="1:9" x14ac:dyDescent="0.3">
      <c r="A29" s="22">
        <v>28</v>
      </c>
      <c r="B29" s="22" t="s">
        <v>77</v>
      </c>
      <c r="C29" s="22" t="s">
        <v>25</v>
      </c>
      <c r="D29" s="22" t="s">
        <v>35</v>
      </c>
      <c r="E29" s="22" t="s">
        <v>20</v>
      </c>
      <c r="F29" s="22">
        <v>122</v>
      </c>
      <c r="G29" s="22">
        <v>123</v>
      </c>
      <c r="H29" s="22">
        <v>0.73599999999999999</v>
      </c>
      <c r="I29" s="22">
        <v>0.98499999999999999</v>
      </c>
    </row>
    <row r="30" spans="1:9" x14ac:dyDescent="0.3">
      <c r="A30" s="22">
        <v>29</v>
      </c>
      <c r="B30" s="22" t="s">
        <v>78</v>
      </c>
      <c r="C30" s="22" t="s">
        <v>25</v>
      </c>
      <c r="D30" s="22" t="s">
        <v>35</v>
      </c>
      <c r="E30" s="22" t="s">
        <v>20</v>
      </c>
      <c r="F30" s="22">
        <v>123</v>
      </c>
      <c r="G30" s="22">
        <v>124</v>
      </c>
      <c r="H30" s="22">
        <v>0.73599999999999999</v>
      </c>
      <c r="I30" s="22">
        <v>0.98499999999999999</v>
      </c>
    </row>
    <row r="31" spans="1:9" x14ac:dyDescent="0.3">
      <c r="A31" s="22">
        <v>30</v>
      </c>
      <c r="B31" s="22" t="s">
        <v>79</v>
      </c>
      <c r="C31" s="22" t="s">
        <v>25</v>
      </c>
      <c r="D31" s="22" t="s">
        <v>35</v>
      </c>
      <c r="E31" s="22" t="s">
        <v>20</v>
      </c>
      <c r="F31" s="22">
        <v>124</v>
      </c>
      <c r="G31" s="22">
        <v>125</v>
      </c>
      <c r="H31" s="22">
        <v>0.73599999999999999</v>
      </c>
      <c r="I31" s="22">
        <v>0.98499999999999999</v>
      </c>
    </row>
    <row r="32" spans="1:9" x14ac:dyDescent="0.3">
      <c r="A32" s="22">
        <v>31</v>
      </c>
      <c r="B32" s="22" t="s">
        <v>80</v>
      </c>
      <c r="C32" s="22" t="s">
        <v>25</v>
      </c>
      <c r="D32" s="22" t="s">
        <v>35</v>
      </c>
      <c r="E32" s="22" t="s">
        <v>20</v>
      </c>
      <c r="F32" s="22">
        <v>125</v>
      </c>
      <c r="G32" s="22">
        <v>126</v>
      </c>
      <c r="H32" s="22">
        <v>0.73599999999999999</v>
      </c>
      <c r="I32" s="22">
        <v>0.98499999999999999</v>
      </c>
    </row>
    <row r="33" spans="1:9" x14ac:dyDescent="0.3">
      <c r="A33" s="22">
        <v>32</v>
      </c>
      <c r="B33" s="22" t="s">
        <v>81</v>
      </c>
      <c r="C33" s="22" t="s">
        <v>25</v>
      </c>
      <c r="D33" s="22" t="s">
        <v>35</v>
      </c>
      <c r="E33" s="22" t="s">
        <v>20</v>
      </c>
      <c r="F33" s="22">
        <v>126</v>
      </c>
      <c r="G33" s="22">
        <v>259</v>
      </c>
      <c r="H33" s="22">
        <v>0.73599999999999999</v>
      </c>
      <c r="I33" s="22">
        <v>0.98499999999999999</v>
      </c>
    </row>
    <row r="34" spans="1:9" x14ac:dyDescent="0.3">
      <c r="A34" s="22">
        <v>33</v>
      </c>
      <c r="B34" s="22" t="s">
        <v>82</v>
      </c>
      <c r="C34" s="22" t="s">
        <v>25</v>
      </c>
      <c r="D34" s="22" t="s">
        <v>35</v>
      </c>
      <c r="E34" s="22" t="s">
        <v>20</v>
      </c>
      <c r="F34" s="22">
        <v>259</v>
      </c>
      <c r="G34" s="22">
        <v>250</v>
      </c>
      <c r="H34" s="22">
        <v>0.73599999999999999</v>
      </c>
      <c r="I34" s="22">
        <v>0.98499999999999999</v>
      </c>
    </row>
    <row r="35" spans="1:9" x14ac:dyDescent="0.3">
      <c r="A35" s="22">
        <v>34</v>
      </c>
      <c r="B35" s="22" t="s">
        <v>83</v>
      </c>
      <c r="C35" s="22" t="s">
        <v>25</v>
      </c>
      <c r="D35" s="22" t="s">
        <v>35</v>
      </c>
      <c r="E35" s="22" t="s">
        <v>20</v>
      </c>
      <c r="F35" s="22">
        <v>250</v>
      </c>
      <c r="G35" s="22">
        <v>241</v>
      </c>
      <c r="H35" s="22">
        <v>0.73599999999999999</v>
      </c>
      <c r="I35" s="22">
        <v>0.98499999999999999</v>
      </c>
    </row>
    <row r="36" spans="1:9" x14ac:dyDescent="0.3">
      <c r="A36" s="22">
        <v>35</v>
      </c>
      <c r="B36" s="22" t="s">
        <v>84</v>
      </c>
      <c r="C36" s="22" t="s">
        <v>25</v>
      </c>
      <c r="D36" s="22" t="s">
        <v>35</v>
      </c>
      <c r="E36" s="22" t="s">
        <v>20</v>
      </c>
      <c r="F36" s="22">
        <v>241</v>
      </c>
      <c r="G36" s="22">
        <v>232</v>
      </c>
      <c r="H36" s="22">
        <v>0.73599999999999999</v>
      </c>
      <c r="I36" s="22">
        <v>0.98499999999999999</v>
      </c>
    </row>
    <row r="37" spans="1:9" x14ac:dyDescent="0.3">
      <c r="A37" s="22">
        <v>36</v>
      </c>
      <c r="B37" s="22" t="s">
        <v>85</v>
      </c>
      <c r="C37" s="22" t="s">
        <v>25</v>
      </c>
      <c r="D37" s="22" t="s">
        <v>35</v>
      </c>
      <c r="E37" s="22" t="s">
        <v>20</v>
      </c>
      <c r="F37" s="22">
        <v>232</v>
      </c>
      <c r="G37" s="22">
        <v>223</v>
      </c>
      <c r="H37" s="22">
        <v>0.73599999999999999</v>
      </c>
      <c r="I37" s="22">
        <v>0.98499999999999999</v>
      </c>
    </row>
    <row r="38" spans="1:9" x14ac:dyDescent="0.3">
      <c r="A38" s="22">
        <v>37</v>
      </c>
      <c r="B38" s="22" t="s">
        <v>48</v>
      </c>
      <c r="C38" s="22" t="s">
        <v>26</v>
      </c>
      <c r="D38" s="22" t="s">
        <v>36</v>
      </c>
      <c r="E38" s="22" t="s">
        <v>20</v>
      </c>
      <c r="F38" s="22">
        <v>1</v>
      </c>
      <c r="G38" s="22">
        <v>10</v>
      </c>
      <c r="H38" s="22">
        <v>0.44800000000000001</v>
      </c>
      <c r="I38" s="22">
        <v>0.875</v>
      </c>
    </row>
    <row r="39" spans="1:9" x14ac:dyDescent="0.3">
      <c r="A39" s="22">
        <v>38</v>
      </c>
      <c r="B39" s="22" t="s">
        <v>49</v>
      </c>
      <c r="C39" s="22" t="s">
        <v>26</v>
      </c>
      <c r="D39" s="22" t="s">
        <v>36</v>
      </c>
      <c r="E39" s="22" t="s">
        <v>20</v>
      </c>
      <c r="F39" s="22">
        <v>10</v>
      </c>
      <c r="G39" s="22">
        <v>19</v>
      </c>
      <c r="H39" s="22">
        <v>0.44800000000000001</v>
      </c>
      <c r="I39" s="22">
        <v>0.875</v>
      </c>
    </row>
    <row r="40" spans="1:9" x14ac:dyDescent="0.3">
      <c r="A40" s="22">
        <v>39</v>
      </c>
      <c r="B40" s="22" t="s">
        <v>86</v>
      </c>
      <c r="C40" s="22" t="s">
        <v>26</v>
      </c>
      <c r="D40" s="22" t="s">
        <v>36</v>
      </c>
      <c r="E40" s="22" t="s">
        <v>20</v>
      </c>
      <c r="F40" s="22">
        <v>19</v>
      </c>
      <c r="G40" s="22">
        <v>28</v>
      </c>
      <c r="H40" s="22">
        <v>0.44800000000000001</v>
      </c>
      <c r="I40" s="22">
        <v>0.875</v>
      </c>
    </row>
    <row r="41" spans="1:9" x14ac:dyDescent="0.3">
      <c r="A41" s="22">
        <v>40</v>
      </c>
      <c r="B41" s="22" t="s">
        <v>87</v>
      </c>
      <c r="C41" s="22" t="s">
        <v>26</v>
      </c>
      <c r="D41" s="22" t="s">
        <v>36</v>
      </c>
      <c r="E41" s="22" t="s">
        <v>20</v>
      </c>
      <c r="F41" s="22">
        <v>28</v>
      </c>
      <c r="G41" s="22">
        <v>37</v>
      </c>
      <c r="H41" s="22">
        <v>0.44800000000000001</v>
      </c>
      <c r="I41" s="22">
        <v>0.875</v>
      </c>
    </row>
    <row r="42" spans="1:9" x14ac:dyDescent="0.3">
      <c r="A42" s="22">
        <v>41</v>
      </c>
      <c r="B42" s="22" t="s">
        <v>88</v>
      </c>
      <c r="C42" s="22" t="s">
        <v>26</v>
      </c>
      <c r="D42" s="22" t="s">
        <v>36</v>
      </c>
      <c r="E42" s="22" t="s">
        <v>20</v>
      </c>
      <c r="F42" s="22">
        <v>37</v>
      </c>
      <c r="G42" s="22">
        <v>46</v>
      </c>
      <c r="H42" s="22">
        <v>0.44800000000000001</v>
      </c>
      <c r="I42" s="22">
        <v>0.875</v>
      </c>
    </row>
    <row r="43" spans="1:9" x14ac:dyDescent="0.3">
      <c r="A43" s="22">
        <v>42</v>
      </c>
      <c r="B43" s="22" t="s">
        <v>89</v>
      </c>
      <c r="C43" s="22" t="s">
        <v>26</v>
      </c>
      <c r="D43" s="22" t="s">
        <v>36</v>
      </c>
      <c r="E43" s="22" t="s">
        <v>20</v>
      </c>
      <c r="F43" s="22">
        <v>46</v>
      </c>
      <c r="G43" s="22">
        <v>55</v>
      </c>
      <c r="H43" s="22">
        <v>0.44800000000000001</v>
      </c>
      <c r="I43" s="22">
        <v>0.875</v>
      </c>
    </row>
    <row r="44" spans="1:9" x14ac:dyDescent="0.3">
      <c r="A44" s="22">
        <v>43</v>
      </c>
      <c r="B44" s="22" t="s">
        <v>90</v>
      </c>
      <c r="C44" s="22" t="s">
        <v>26</v>
      </c>
      <c r="D44" s="22" t="s">
        <v>36</v>
      </c>
      <c r="E44" s="22" t="s">
        <v>20</v>
      </c>
      <c r="F44" s="22">
        <v>55</v>
      </c>
      <c r="G44" s="22">
        <v>64</v>
      </c>
      <c r="H44" s="22">
        <v>0.44800000000000001</v>
      </c>
      <c r="I44" s="22">
        <v>0.875</v>
      </c>
    </row>
    <row r="45" spans="1:9" x14ac:dyDescent="0.3">
      <c r="A45" s="22">
        <v>44</v>
      </c>
      <c r="B45" s="22" t="s">
        <v>91</v>
      </c>
      <c r="C45" s="22" t="s">
        <v>26</v>
      </c>
      <c r="D45" s="22" t="s">
        <v>36</v>
      </c>
      <c r="E45" s="22" t="s">
        <v>20</v>
      </c>
      <c r="F45" s="22">
        <v>64</v>
      </c>
      <c r="G45" s="22">
        <v>73</v>
      </c>
      <c r="H45" s="22">
        <v>0.44800000000000001</v>
      </c>
      <c r="I45" s="22">
        <v>0.875</v>
      </c>
    </row>
    <row r="46" spans="1:9" x14ac:dyDescent="0.3">
      <c r="A46" s="22">
        <v>45</v>
      </c>
      <c r="B46" s="22" t="s">
        <v>92</v>
      </c>
      <c r="C46" s="22" t="s">
        <v>26</v>
      </c>
      <c r="D46" s="22" t="s">
        <v>36</v>
      </c>
      <c r="E46" s="22" t="s">
        <v>20</v>
      </c>
      <c r="F46" s="22">
        <v>73</v>
      </c>
      <c r="G46" s="22">
        <v>82</v>
      </c>
      <c r="H46" s="22">
        <v>0.44800000000000001</v>
      </c>
      <c r="I46" s="22">
        <v>0.875</v>
      </c>
    </row>
    <row r="47" spans="1:9" x14ac:dyDescent="0.3">
      <c r="A47" s="22">
        <v>46</v>
      </c>
      <c r="B47" s="22" t="s">
        <v>93</v>
      </c>
      <c r="C47" s="22" t="s">
        <v>26</v>
      </c>
      <c r="D47" s="22" t="s">
        <v>36</v>
      </c>
      <c r="E47" s="22" t="s">
        <v>20</v>
      </c>
      <c r="F47" s="22">
        <v>82</v>
      </c>
      <c r="G47" s="22">
        <v>91</v>
      </c>
      <c r="H47" s="22">
        <v>0.44800000000000001</v>
      </c>
      <c r="I47" s="22">
        <v>0.875</v>
      </c>
    </row>
    <row r="48" spans="1:9" x14ac:dyDescent="0.3">
      <c r="A48" s="22">
        <v>47</v>
      </c>
      <c r="B48" s="22" t="s">
        <v>94</v>
      </c>
      <c r="C48" s="22" t="s">
        <v>26</v>
      </c>
      <c r="D48" s="22" t="s">
        <v>36</v>
      </c>
      <c r="E48" s="22" t="s">
        <v>20</v>
      </c>
      <c r="F48" s="22">
        <v>91</v>
      </c>
      <c r="G48" s="22">
        <v>100</v>
      </c>
      <c r="H48" s="22">
        <v>0.44800000000000001</v>
      </c>
      <c r="I48" s="22">
        <v>0.875</v>
      </c>
    </row>
    <row r="49" spans="1:9" x14ac:dyDescent="0.3">
      <c r="A49" s="22">
        <v>48</v>
      </c>
      <c r="B49" s="22" t="s">
        <v>95</v>
      </c>
      <c r="C49" s="22" t="s">
        <v>26</v>
      </c>
      <c r="D49" s="22" t="s">
        <v>36</v>
      </c>
      <c r="E49" s="22" t="s">
        <v>20</v>
      </c>
      <c r="F49" s="22">
        <v>100</v>
      </c>
      <c r="G49" s="22">
        <v>109</v>
      </c>
      <c r="H49" s="22">
        <v>0.44800000000000001</v>
      </c>
      <c r="I49" s="22">
        <v>0.875</v>
      </c>
    </row>
    <row r="50" spans="1:9" x14ac:dyDescent="0.3">
      <c r="A50" s="22">
        <v>49</v>
      </c>
      <c r="B50" s="22" t="s">
        <v>96</v>
      </c>
      <c r="C50" s="22" t="s">
        <v>26</v>
      </c>
      <c r="D50" s="22" t="s">
        <v>36</v>
      </c>
      <c r="E50" s="22" t="s">
        <v>20</v>
      </c>
      <c r="F50" s="22">
        <v>109</v>
      </c>
      <c r="G50" s="22">
        <v>118</v>
      </c>
      <c r="H50" s="22">
        <v>0.44800000000000001</v>
      </c>
      <c r="I50" s="22">
        <v>0.875</v>
      </c>
    </row>
    <row r="51" spans="1:9" x14ac:dyDescent="0.3">
      <c r="A51" s="22">
        <v>50</v>
      </c>
      <c r="B51" s="22" t="s">
        <v>97</v>
      </c>
      <c r="C51" s="22" t="s">
        <v>26</v>
      </c>
      <c r="D51" s="22" t="s">
        <v>36</v>
      </c>
      <c r="E51" s="22" t="s">
        <v>20</v>
      </c>
      <c r="F51" s="22">
        <v>118</v>
      </c>
      <c r="G51" s="22">
        <v>127</v>
      </c>
      <c r="H51" s="22">
        <v>0.44800000000000001</v>
      </c>
      <c r="I51" s="22">
        <v>0.875</v>
      </c>
    </row>
    <row r="52" spans="1:9" x14ac:dyDescent="0.3">
      <c r="A52" s="22">
        <v>51</v>
      </c>
      <c r="B52" s="22" t="s">
        <v>98</v>
      </c>
      <c r="C52" s="22" t="s">
        <v>26</v>
      </c>
      <c r="D52" s="22" t="s">
        <v>36</v>
      </c>
      <c r="E52" s="22" t="s">
        <v>20</v>
      </c>
      <c r="F52" s="22">
        <v>127</v>
      </c>
      <c r="G52" s="22">
        <v>136</v>
      </c>
      <c r="H52" s="22">
        <v>0.44800000000000001</v>
      </c>
      <c r="I52" s="22">
        <v>0.875</v>
      </c>
    </row>
    <row r="53" spans="1:9" x14ac:dyDescent="0.3">
      <c r="A53" s="22">
        <v>52</v>
      </c>
      <c r="B53" s="22" t="s">
        <v>99</v>
      </c>
      <c r="C53" s="22" t="s">
        <v>26</v>
      </c>
      <c r="D53" s="22" t="s">
        <v>36</v>
      </c>
      <c r="E53" s="22" t="s">
        <v>20</v>
      </c>
      <c r="F53" s="22">
        <v>136</v>
      </c>
      <c r="G53" s="22">
        <v>145</v>
      </c>
      <c r="H53" s="22">
        <v>0.44800000000000001</v>
      </c>
      <c r="I53" s="22">
        <v>0.875</v>
      </c>
    </row>
    <row r="54" spans="1:9" x14ac:dyDescent="0.3">
      <c r="A54" s="22">
        <v>53</v>
      </c>
      <c r="B54" s="22" t="s">
        <v>100</v>
      </c>
      <c r="C54" s="22" t="s">
        <v>26</v>
      </c>
      <c r="D54" s="22" t="s">
        <v>36</v>
      </c>
      <c r="E54" s="22" t="s">
        <v>20</v>
      </c>
      <c r="F54" s="22">
        <v>145</v>
      </c>
      <c r="G54" s="22">
        <v>154</v>
      </c>
      <c r="H54" s="22">
        <v>0.44800000000000001</v>
      </c>
      <c r="I54" s="22">
        <v>0.875</v>
      </c>
    </row>
    <row r="55" spans="1:9" x14ac:dyDescent="0.3">
      <c r="A55" s="22">
        <v>54</v>
      </c>
      <c r="B55" s="22" t="s">
        <v>101</v>
      </c>
      <c r="C55" s="22" t="s">
        <v>26</v>
      </c>
      <c r="D55" s="22" t="s">
        <v>36</v>
      </c>
      <c r="E55" s="22" t="s">
        <v>20</v>
      </c>
      <c r="F55" s="22">
        <v>154</v>
      </c>
      <c r="G55" s="22">
        <v>163</v>
      </c>
      <c r="H55" s="22">
        <v>0.44800000000000001</v>
      </c>
      <c r="I55" s="22">
        <v>0.875</v>
      </c>
    </row>
    <row r="56" spans="1:9" x14ac:dyDescent="0.3">
      <c r="A56" s="22">
        <v>55</v>
      </c>
      <c r="B56" s="22" t="s">
        <v>102</v>
      </c>
      <c r="C56" s="22" t="s">
        <v>27</v>
      </c>
      <c r="D56" s="22" t="s">
        <v>36</v>
      </c>
      <c r="E56" s="22" t="s">
        <v>20</v>
      </c>
      <c r="F56" s="22">
        <v>2</v>
      </c>
      <c r="G56" s="22">
        <v>11</v>
      </c>
      <c r="H56" s="22">
        <v>0.73599999999999999</v>
      </c>
      <c r="I56" s="22">
        <v>0.98499999999999999</v>
      </c>
    </row>
    <row r="57" spans="1:9" x14ac:dyDescent="0.3">
      <c r="A57" s="22">
        <v>56</v>
      </c>
      <c r="B57" s="22" t="s">
        <v>103</v>
      </c>
      <c r="C57" s="22" t="s">
        <v>27</v>
      </c>
      <c r="D57" s="22" t="s">
        <v>36</v>
      </c>
      <c r="E57" s="22" t="s">
        <v>20</v>
      </c>
      <c r="F57" s="22">
        <v>11</v>
      </c>
      <c r="G57" s="22">
        <v>20</v>
      </c>
      <c r="H57" s="22">
        <v>0.73599999999999999</v>
      </c>
      <c r="I57" s="22">
        <v>0.98499999999999999</v>
      </c>
    </row>
    <row r="58" spans="1:9" x14ac:dyDescent="0.3">
      <c r="A58" s="22">
        <v>57</v>
      </c>
      <c r="B58" s="22" t="s">
        <v>104</v>
      </c>
      <c r="C58" s="22" t="s">
        <v>27</v>
      </c>
      <c r="D58" s="22" t="s">
        <v>36</v>
      </c>
      <c r="E58" s="22" t="s">
        <v>20</v>
      </c>
      <c r="F58" s="22">
        <v>20</v>
      </c>
      <c r="G58" s="22">
        <v>29</v>
      </c>
      <c r="H58" s="22">
        <v>0.73599999999999999</v>
      </c>
      <c r="I58" s="22">
        <v>0.98499999999999999</v>
      </c>
    </row>
    <row r="59" spans="1:9" x14ac:dyDescent="0.3">
      <c r="A59" s="22">
        <v>58</v>
      </c>
      <c r="B59" s="22" t="s">
        <v>105</v>
      </c>
      <c r="C59" s="22" t="s">
        <v>27</v>
      </c>
      <c r="D59" s="22" t="s">
        <v>36</v>
      </c>
      <c r="E59" s="22" t="s">
        <v>20</v>
      </c>
      <c r="F59" s="22">
        <v>29</v>
      </c>
      <c r="G59" s="22">
        <v>38</v>
      </c>
      <c r="H59" s="22">
        <v>0.73599999999999999</v>
      </c>
      <c r="I59" s="22">
        <v>0.98499999999999999</v>
      </c>
    </row>
    <row r="60" spans="1:9" x14ac:dyDescent="0.3">
      <c r="A60" s="22">
        <v>59</v>
      </c>
      <c r="B60" s="22" t="s">
        <v>106</v>
      </c>
      <c r="C60" s="22" t="s">
        <v>27</v>
      </c>
      <c r="D60" s="22" t="s">
        <v>36</v>
      </c>
      <c r="E60" s="22" t="s">
        <v>20</v>
      </c>
      <c r="F60" s="22">
        <v>38</v>
      </c>
      <c r="G60" s="22">
        <v>47</v>
      </c>
      <c r="H60" s="22">
        <v>0.73599999999999999</v>
      </c>
      <c r="I60" s="22">
        <v>0.98499999999999999</v>
      </c>
    </row>
    <row r="61" spans="1:9" x14ac:dyDescent="0.3">
      <c r="A61" s="22">
        <v>60</v>
      </c>
      <c r="B61" s="22" t="s">
        <v>107</v>
      </c>
      <c r="C61" s="22" t="s">
        <v>27</v>
      </c>
      <c r="D61" s="22" t="s">
        <v>36</v>
      </c>
      <c r="E61" s="22" t="s">
        <v>20</v>
      </c>
      <c r="F61" s="22">
        <v>47</v>
      </c>
      <c r="G61" s="22">
        <v>56</v>
      </c>
      <c r="H61" s="22">
        <v>0.73599999999999999</v>
      </c>
      <c r="I61" s="22">
        <v>0.98499999999999999</v>
      </c>
    </row>
    <row r="62" spans="1:9" x14ac:dyDescent="0.3">
      <c r="A62" s="22">
        <v>61</v>
      </c>
      <c r="B62" s="22" t="s">
        <v>108</v>
      </c>
      <c r="C62" s="22" t="s">
        <v>27</v>
      </c>
      <c r="D62" s="22" t="s">
        <v>36</v>
      </c>
      <c r="E62" s="22" t="s">
        <v>20</v>
      </c>
      <c r="F62" s="22">
        <v>56</v>
      </c>
      <c r="G62" s="22">
        <v>65</v>
      </c>
      <c r="H62" s="22">
        <v>0.73599999999999999</v>
      </c>
      <c r="I62" s="22">
        <v>0.98499999999999999</v>
      </c>
    </row>
    <row r="63" spans="1:9" x14ac:dyDescent="0.3">
      <c r="A63" s="22">
        <v>62</v>
      </c>
      <c r="B63" s="22" t="s">
        <v>109</v>
      </c>
      <c r="C63" s="22" t="s">
        <v>27</v>
      </c>
      <c r="D63" s="22" t="s">
        <v>36</v>
      </c>
      <c r="E63" s="22" t="s">
        <v>20</v>
      </c>
      <c r="F63" s="22">
        <v>65</v>
      </c>
      <c r="G63" s="22">
        <v>74</v>
      </c>
      <c r="H63" s="22">
        <v>0.73599999999999999</v>
      </c>
      <c r="I63" s="22">
        <v>0.98499999999999999</v>
      </c>
    </row>
    <row r="64" spans="1:9" x14ac:dyDescent="0.3">
      <c r="A64" s="22">
        <v>63</v>
      </c>
      <c r="B64" s="22" t="s">
        <v>110</v>
      </c>
      <c r="C64" s="22" t="s">
        <v>27</v>
      </c>
      <c r="D64" s="22" t="s">
        <v>36</v>
      </c>
      <c r="E64" s="22" t="s">
        <v>20</v>
      </c>
      <c r="F64" s="22">
        <v>74</v>
      </c>
      <c r="G64" s="22">
        <v>83</v>
      </c>
      <c r="H64" s="22">
        <v>0.73599999999999999</v>
      </c>
      <c r="I64" s="22">
        <v>0.98499999999999999</v>
      </c>
    </row>
    <row r="65" spans="1:9" x14ac:dyDescent="0.3">
      <c r="A65" s="22">
        <v>64</v>
      </c>
      <c r="B65" s="22" t="s">
        <v>111</v>
      </c>
      <c r="C65" s="22" t="s">
        <v>27</v>
      </c>
      <c r="D65" s="22" t="s">
        <v>36</v>
      </c>
      <c r="E65" s="22" t="s">
        <v>20</v>
      </c>
      <c r="F65" s="22">
        <v>83</v>
      </c>
      <c r="G65" s="22">
        <v>92</v>
      </c>
      <c r="H65" s="22">
        <v>0.73599999999999999</v>
      </c>
      <c r="I65" s="22">
        <v>0.98499999999999999</v>
      </c>
    </row>
    <row r="66" spans="1:9" x14ac:dyDescent="0.3">
      <c r="A66" s="22">
        <v>65</v>
      </c>
      <c r="B66" s="22" t="s">
        <v>112</v>
      </c>
      <c r="C66" s="22" t="s">
        <v>27</v>
      </c>
      <c r="D66" s="22" t="s">
        <v>36</v>
      </c>
      <c r="E66" s="22" t="s">
        <v>20</v>
      </c>
      <c r="F66" s="22">
        <v>92</v>
      </c>
      <c r="G66" s="22">
        <v>101</v>
      </c>
      <c r="H66" s="22">
        <v>0.73599999999999999</v>
      </c>
      <c r="I66" s="22">
        <v>0.98499999999999999</v>
      </c>
    </row>
    <row r="67" spans="1:9" x14ac:dyDescent="0.3">
      <c r="A67" s="22">
        <v>66</v>
      </c>
      <c r="B67" s="22" t="s">
        <v>113</v>
      </c>
      <c r="C67" s="22" t="s">
        <v>27</v>
      </c>
      <c r="D67" s="22" t="s">
        <v>36</v>
      </c>
      <c r="E67" s="22" t="s">
        <v>20</v>
      </c>
      <c r="F67" s="22">
        <v>101</v>
      </c>
      <c r="G67" s="22">
        <v>110</v>
      </c>
      <c r="H67" s="22">
        <v>0.73599999999999999</v>
      </c>
      <c r="I67" s="22">
        <v>0.98499999999999999</v>
      </c>
    </row>
    <row r="68" spans="1:9" x14ac:dyDescent="0.3">
      <c r="A68" s="22">
        <v>67</v>
      </c>
      <c r="B68" s="22" t="s">
        <v>114</v>
      </c>
      <c r="C68" s="22" t="s">
        <v>27</v>
      </c>
      <c r="D68" s="22" t="s">
        <v>36</v>
      </c>
      <c r="E68" s="22" t="s">
        <v>20</v>
      </c>
      <c r="F68" s="22">
        <v>110</v>
      </c>
      <c r="G68" s="22">
        <v>119</v>
      </c>
      <c r="H68" s="22">
        <v>0.73599999999999999</v>
      </c>
      <c r="I68" s="22">
        <v>0.98499999999999999</v>
      </c>
    </row>
    <row r="69" spans="1:9" x14ac:dyDescent="0.3">
      <c r="A69" s="22">
        <v>68</v>
      </c>
      <c r="B69" s="22" t="s">
        <v>115</v>
      </c>
      <c r="C69" s="22" t="s">
        <v>27</v>
      </c>
      <c r="D69" s="22" t="s">
        <v>36</v>
      </c>
      <c r="E69" s="22" t="s">
        <v>20</v>
      </c>
      <c r="F69" s="22">
        <v>119</v>
      </c>
      <c r="G69" s="22">
        <v>128</v>
      </c>
      <c r="H69" s="22">
        <v>0.73599999999999999</v>
      </c>
      <c r="I69" s="22">
        <v>0.98499999999999999</v>
      </c>
    </row>
    <row r="70" spans="1:9" x14ac:dyDescent="0.3">
      <c r="A70" s="22">
        <v>69</v>
      </c>
      <c r="B70" s="22" t="s">
        <v>116</v>
      </c>
      <c r="C70" s="22" t="s">
        <v>27</v>
      </c>
      <c r="D70" s="22" t="s">
        <v>36</v>
      </c>
      <c r="E70" s="22" t="s">
        <v>20</v>
      </c>
      <c r="F70" s="22">
        <v>128</v>
      </c>
      <c r="G70" s="22">
        <v>137</v>
      </c>
      <c r="H70" s="22">
        <v>0.73599999999999999</v>
      </c>
      <c r="I70" s="22">
        <v>0.98499999999999999</v>
      </c>
    </row>
    <row r="71" spans="1:9" x14ac:dyDescent="0.3">
      <c r="A71" s="22">
        <v>70</v>
      </c>
      <c r="B71" s="22" t="s">
        <v>117</v>
      </c>
      <c r="C71" s="22" t="s">
        <v>27</v>
      </c>
      <c r="D71" s="22" t="s">
        <v>36</v>
      </c>
      <c r="E71" s="22" t="s">
        <v>20</v>
      </c>
      <c r="F71" s="22">
        <v>137</v>
      </c>
      <c r="G71" s="22">
        <v>146</v>
      </c>
      <c r="H71" s="22">
        <v>0.73599999999999999</v>
      </c>
      <c r="I71" s="22">
        <v>0.98499999999999999</v>
      </c>
    </row>
    <row r="72" spans="1:9" x14ac:dyDescent="0.3">
      <c r="A72" s="22">
        <v>71</v>
      </c>
      <c r="B72" s="22" t="s">
        <v>118</v>
      </c>
      <c r="C72" s="22" t="s">
        <v>27</v>
      </c>
      <c r="D72" s="22" t="s">
        <v>36</v>
      </c>
      <c r="E72" s="22" t="s">
        <v>20</v>
      </c>
      <c r="F72" s="22">
        <v>146</v>
      </c>
      <c r="G72" s="22">
        <v>155</v>
      </c>
      <c r="H72" s="22">
        <v>0.73599999999999999</v>
      </c>
      <c r="I72" s="22">
        <v>0.98499999999999999</v>
      </c>
    </row>
    <row r="73" spans="1:9" x14ac:dyDescent="0.3">
      <c r="A73" s="22">
        <v>72</v>
      </c>
      <c r="B73" s="22" t="s">
        <v>119</v>
      </c>
      <c r="C73" s="22" t="s">
        <v>27</v>
      </c>
      <c r="D73" s="22" t="s">
        <v>36</v>
      </c>
      <c r="E73" s="22" t="s">
        <v>20</v>
      </c>
      <c r="F73" s="22">
        <v>155</v>
      </c>
      <c r="G73" s="22">
        <v>164</v>
      </c>
      <c r="H73" s="22">
        <v>0.73599999999999999</v>
      </c>
      <c r="I73" s="22">
        <v>0.98499999999999999</v>
      </c>
    </row>
    <row r="74" spans="1:9" x14ac:dyDescent="0.3">
      <c r="A74" s="22">
        <v>73</v>
      </c>
      <c r="B74" s="22" t="s">
        <v>120</v>
      </c>
      <c r="C74" s="22" t="s">
        <v>29</v>
      </c>
      <c r="D74" s="22" t="s">
        <v>36</v>
      </c>
      <c r="E74" s="22" t="s">
        <v>20</v>
      </c>
      <c r="F74" s="22">
        <v>8</v>
      </c>
      <c r="G74" s="22">
        <v>17</v>
      </c>
      <c r="H74" s="22">
        <v>0.73599999999999999</v>
      </c>
      <c r="I74" s="22">
        <v>0.98499999999999999</v>
      </c>
    </row>
    <row r="75" spans="1:9" x14ac:dyDescent="0.3">
      <c r="A75" s="22">
        <v>74</v>
      </c>
      <c r="B75" s="22" t="s">
        <v>121</v>
      </c>
      <c r="C75" s="22" t="s">
        <v>29</v>
      </c>
      <c r="D75" s="22" t="s">
        <v>36</v>
      </c>
      <c r="E75" s="22" t="s">
        <v>20</v>
      </c>
      <c r="F75" s="22">
        <v>17</v>
      </c>
      <c r="G75" s="22">
        <v>26</v>
      </c>
      <c r="H75" s="22">
        <v>0.73599999999999999</v>
      </c>
      <c r="I75" s="22">
        <v>0.98499999999999999</v>
      </c>
    </row>
    <row r="76" spans="1:9" x14ac:dyDescent="0.3">
      <c r="A76" s="22">
        <v>75</v>
      </c>
      <c r="B76" s="22" t="s">
        <v>122</v>
      </c>
      <c r="C76" s="22" t="s">
        <v>29</v>
      </c>
      <c r="D76" s="22" t="s">
        <v>36</v>
      </c>
      <c r="E76" s="22" t="s">
        <v>20</v>
      </c>
      <c r="F76" s="22">
        <v>26</v>
      </c>
      <c r="G76" s="22">
        <v>35</v>
      </c>
      <c r="H76" s="22">
        <v>0.73599999999999999</v>
      </c>
      <c r="I76" s="22">
        <v>0.98499999999999999</v>
      </c>
    </row>
    <row r="77" spans="1:9" x14ac:dyDescent="0.3">
      <c r="A77" s="22">
        <v>76</v>
      </c>
      <c r="B77" s="22" t="s">
        <v>123</v>
      </c>
      <c r="C77" s="22" t="s">
        <v>29</v>
      </c>
      <c r="D77" s="22" t="s">
        <v>36</v>
      </c>
      <c r="E77" s="22" t="s">
        <v>20</v>
      </c>
      <c r="F77" s="22">
        <v>35</v>
      </c>
      <c r="G77" s="22">
        <v>44</v>
      </c>
      <c r="H77" s="22">
        <v>0.73599999999999999</v>
      </c>
      <c r="I77" s="22">
        <v>0.98499999999999999</v>
      </c>
    </row>
    <row r="78" spans="1:9" x14ac:dyDescent="0.3">
      <c r="A78" s="22">
        <v>77</v>
      </c>
      <c r="B78" s="22" t="s">
        <v>124</v>
      </c>
      <c r="C78" s="22" t="s">
        <v>29</v>
      </c>
      <c r="D78" s="22" t="s">
        <v>36</v>
      </c>
      <c r="E78" s="22" t="s">
        <v>20</v>
      </c>
      <c r="F78" s="22">
        <v>44</v>
      </c>
      <c r="G78" s="22">
        <v>53</v>
      </c>
      <c r="H78" s="22">
        <v>0.73599999999999999</v>
      </c>
      <c r="I78" s="22">
        <v>0.98499999999999999</v>
      </c>
    </row>
    <row r="79" spans="1:9" x14ac:dyDescent="0.3">
      <c r="A79" s="22">
        <v>78</v>
      </c>
      <c r="B79" s="22" t="s">
        <v>125</v>
      </c>
      <c r="C79" s="22" t="s">
        <v>29</v>
      </c>
      <c r="D79" s="22" t="s">
        <v>36</v>
      </c>
      <c r="E79" s="22" t="s">
        <v>20</v>
      </c>
      <c r="F79" s="22">
        <v>53</v>
      </c>
      <c r="G79" s="22">
        <v>62</v>
      </c>
      <c r="H79" s="22">
        <v>0.73599999999999999</v>
      </c>
      <c r="I79" s="22">
        <v>0.98499999999999999</v>
      </c>
    </row>
    <row r="80" spans="1:9" x14ac:dyDescent="0.3">
      <c r="A80" s="22">
        <v>79</v>
      </c>
      <c r="B80" s="22" t="s">
        <v>126</v>
      </c>
      <c r="C80" s="22" t="s">
        <v>29</v>
      </c>
      <c r="D80" s="22" t="s">
        <v>36</v>
      </c>
      <c r="E80" s="22" t="s">
        <v>20</v>
      </c>
      <c r="F80" s="22">
        <v>62</v>
      </c>
      <c r="G80" s="22">
        <v>71</v>
      </c>
      <c r="H80" s="22">
        <v>0.73599999999999999</v>
      </c>
      <c r="I80" s="22">
        <v>0.98499999999999999</v>
      </c>
    </row>
    <row r="81" spans="1:9" x14ac:dyDescent="0.3">
      <c r="A81" s="22">
        <v>80</v>
      </c>
      <c r="B81" s="22" t="s">
        <v>127</v>
      </c>
      <c r="C81" s="22" t="s">
        <v>29</v>
      </c>
      <c r="D81" s="22" t="s">
        <v>36</v>
      </c>
      <c r="E81" s="22" t="s">
        <v>20</v>
      </c>
      <c r="F81" s="22">
        <v>71</v>
      </c>
      <c r="G81" s="22">
        <v>80</v>
      </c>
      <c r="H81" s="22">
        <v>0.73599999999999999</v>
      </c>
      <c r="I81" s="22">
        <v>0.98499999999999999</v>
      </c>
    </row>
    <row r="82" spans="1:9" x14ac:dyDescent="0.3">
      <c r="A82" s="22">
        <v>81</v>
      </c>
      <c r="B82" s="22" t="s">
        <v>128</v>
      </c>
      <c r="C82" s="22" t="s">
        <v>29</v>
      </c>
      <c r="D82" s="22" t="s">
        <v>36</v>
      </c>
      <c r="E82" s="22" t="s">
        <v>20</v>
      </c>
      <c r="F82" s="22">
        <v>80</v>
      </c>
      <c r="G82" s="22">
        <v>89</v>
      </c>
      <c r="H82" s="22">
        <v>0.73599999999999999</v>
      </c>
      <c r="I82" s="22">
        <v>0.98499999999999999</v>
      </c>
    </row>
    <row r="83" spans="1:9" x14ac:dyDescent="0.3">
      <c r="A83" s="22">
        <v>82</v>
      </c>
      <c r="B83" s="22" t="s">
        <v>129</v>
      </c>
      <c r="C83" s="22" t="s">
        <v>29</v>
      </c>
      <c r="D83" s="22" t="s">
        <v>36</v>
      </c>
      <c r="E83" s="22" t="s">
        <v>20</v>
      </c>
      <c r="F83" s="22">
        <v>89</v>
      </c>
      <c r="G83" s="22">
        <v>98</v>
      </c>
      <c r="H83" s="22">
        <v>0.73599999999999999</v>
      </c>
      <c r="I83" s="22">
        <v>0.98499999999999999</v>
      </c>
    </row>
    <row r="84" spans="1:9" x14ac:dyDescent="0.3">
      <c r="A84" s="22">
        <v>83</v>
      </c>
      <c r="B84" s="22" t="s">
        <v>130</v>
      </c>
      <c r="C84" s="22" t="s">
        <v>29</v>
      </c>
      <c r="D84" s="22" t="s">
        <v>36</v>
      </c>
      <c r="E84" s="22" t="s">
        <v>20</v>
      </c>
      <c r="F84" s="22">
        <v>98</v>
      </c>
      <c r="G84" s="22">
        <v>107</v>
      </c>
      <c r="H84" s="22">
        <v>0.73599999999999999</v>
      </c>
      <c r="I84" s="22">
        <v>0.98499999999999999</v>
      </c>
    </row>
    <row r="85" spans="1:9" x14ac:dyDescent="0.3">
      <c r="A85" s="22">
        <v>84</v>
      </c>
      <c r="B85" s="22" t="s">
        <v>131</v>
      </c>
      <c r="C85" s="22" t="s">
        <v>29</v>
      </c>
      <c r="D85" s="22" t="s">
        <v>36</v>
      </c>
      <c r="E85" s="22" t="s">
        <v>20</v>
      </c>
      <c r="F85" s="22">
        <v>107</v>
      </c>
      <c r="G85" s="22">
        <v>116</v>
      </c>
      <c r="H85" s="22">
        <v>0.73599999999999999</v>
      </c>
      <c r="I85" s="22">
        <v>0.98499999999999999</v>
      </c>
    </row>
    <row r="86" spans="1:9" x14ac:dyDescent="0.3">
      <c r="A86" s="22">
        <v>85</v>
      </c>
      <c r="B86" s="22" t="s">
        <v>132</v>
      </c>
      <c r="C86" s="22" t="s">
        <v>29</v>
      </c>
      <c r="D86" s="22" t="s">
        <v>36</v>
      </c>
      <c r="E86" s="22" t="s">
        <v>20</v>
      </c>
      <c r="F86" s="22">
        <v>116</v>
      </c>
      <c r="G86" s="22">
        <v>125</v>
      </c>
      <c r="H86" s="22">
        <v>0.73599999999999999</v>
      </c>
      <c r="I86" s="22">
        <v>0.98499999999999999</v>
      </c>
    </row>
    <row r="87" spans="1:9" x14ac:dyDescent="0.3">
      <c r="A87" s="22">
        <v>86</v>
      </c>
      <c r="B87" s="22" t="s">
        <v>133</v>
      </c>
      <c r="C87" s="22" t="s">
        <v>29</v>
      </c>
      <c r="D87" s="22" t="s">
        <v>36</v>
      </c>
      <c r="E87" s="22" t="s">
        <v>20</v>
      </c>
      <c r="F87" s="22">
        <v>125</v>
      </c>
      <c r="G87" s="22">
        <v>134</v>
      </c>
      <c r="H87" s="22">
        <v>0.73599999999999999</v>
      </c>
      <c r="I87" s="22">
        <v>0.98499999999999999</v>
      </c>
    </row>
    <row r="88" spans="1:9" x14ac:dyDescent="0.3">
      <c r="A88" s="22">
        <v>87</v>
      </c>
      <c r="B88" s="22" t="s">
        <v>134</v>
      </c>
      <c r="C88" s="22" t="s">
        <v>29</v>
      </c>
      <c r="D88" s="22" t="s">
        <v>36</v>
      </c>
      <c r="E88" s="22" t="s">
        <v>20</v>
      </c>
      <c r="F88" s="22">
        <v>134</v>
      </c>
      <c r="G88" s="22">
        <v>143</v>
      </c>
      <c r="H88" s="22">
        <v>0.73599999999999999</v>
      </c>
      <c r="I88" s="22">
        <v>0.98499999999999999</v>
      </c>
    </row>
    <row r="89" spans="1:9" x14ac:dyDescent="0.3">
      <c r="A89" s="22">
        <v>88</v>
      </c>
      <c r="B89" s="22" t="s">
        <v>135</v>
      </c>
      <c r="C89" s="22" t="s">
        <v>29</v>
      </c>
      <c r="D89" s="22" t="s">
        <v>36</v>
      </c>
      <c r="E89" s="22" t="s">
        <v>20</v>
      </c>
      <c r="F89" s="22">
        <v>143</v>
      </c>
      <c r="G89" s="22">
        <v>152</v>
      </c>
      <c r="H89" s="22">
        <v>0.73599999999999999</v>
      </c>
      <c r="I89" s="22">
        <v>0.98499999999999999</v>
      </c>
    </row>
    <row r="90" spans="1:9" x14ac:dyDescent="0.3">
      <c r="A90" s="22">
        <v>89</v>
      </c>
      <c r="B90" s="22" t="s">
        <v>136</v>
      </c>
      <c r="C90" s="22" t="s">
        <v>29</v>
      </c>
      <c r="D90" s="22" t="s">
        <v>36</v>
      </c>
      <c r="E90" s="22" t="s">
        <v>20</v>
      </c>
      <c r="F90" s="22">
        <v>152</v>
      </c>
      <c r="G90" s="22">
        <v>161</v>
      </c>
      <c r="H90" s="22">
        <v>0.73599999999999999</v>
      </c>
      <c r="I90" s="22">
        <v>0.98499999999999999</v>
      </c>
    </row>
    <row r="91" spans="1:9" x14ac:dyDescent="0.3">
      <c r="A91" s="22">
        <v>90</v>
      </c>
      <c r="B91" s="22" t="s">
        <v>137</v>
      </c>
      <c r="C91" s="22" t="s">
        <v>29</v>
      </c>
      <c r="D91" s="22" t="s">
        <v>36</v>
      </c>
      <c r="E91" s="22" t="s">
        <v>20</v>
      </c>
      <c r="F91" s="22">
        <v>161</v>
      </c>
      <c r="G91" s="22">
        <v>170</v>
      </c>
      <c r="H91" s="22">
        <v>0.73599999999999999</v>
      </c>
      <c r="I91" s="22">
        <v>0.98499999999999999</v>
      </c>
    </row>
    <row r="92" spans="1:9" x14ac:dyDescent="0.3">
      <c r="A92" s="22">
        <v>91</v>
      </c>
      <c r="B92" s="22" t="s">
        <v>138</v>
      </c>
      <c r="C92" s="22" t="s">
        <v>30</v>
      </c>
      <c r="D92" s="22" t="s">
        <v>36</v>
      </c>
      <c r="E92" s="22" t="s">
        <v>20</v>
      </c>
      <c r="F92" s="22">
        <v>9</v>
      </c>
      <c r="G92" s="22">
        <v>18</v>
      </c>
      <c r="H92" s="22">
        <v>0.44800000000000001</v>
      </c>
      <c r="I92" s="22">
        <v>0.875</v>
      </c>
    </row>
    <row r="93" spans="1:9" x14ac:dyDescent="0.3">
      <c r="A93" s="22">
        <v>92</v>
      </c>
      <c r="B93" s="22" t="s">
        <v>139</v>
      </c>
      <c r="C93" s="22" t="s">
        <v>30</v>
      </c>
      <c r="D93" s="22" t="s">
        <v>36</v>
      </c>
      <c r="E93" s="22" t="s">
        <v>20</v>
      </c>
      <c r="F93" s="22">
        <v>18</v>
      </c>
      <c r="G93" s="22">
        <v>27</v>
      </c>
      <c r="H93" s="22">
        <v>0.44800000000000001</v>
      </c>
      <c r="I93" s="22">
        <v>0.875</v>
      </c>
    </row>
    <row r="94" spans="1:9" x14ac:dyDescent="0.3">
      <c r="A94" s="22">
        <v>93</v>
      </c>
      <c r="B94" s="22" t="s">
        <v>140</v>
      </c>
      <c r="C94" s="22" t="s">
        <v>30</v>
      </c>
      <c r="D94" s="22" t="s">
        <v>36</v>
      </c>
      <c r="E94" s="22" t="s">
        <v>20</v>
      </c>
      <c r="F94" s="22">
        <v>27</v>
      </c>
      <c r="G94" s="22">
        <v>36</v>
      </c>
      <c r="H94" s="22">
        <v>0.44800000000000001</v>
      </c>
      <c r="I94" s="22">
        <v>0.875</v>
      </c>
    </row>
    <row r="95" spans="1:9" x14ac:dyDescent="0.3">
      <c r="A95" s="22">
        <v>94</v>
      </c>
      <c r="B95" s="22" t="s">
        <v>141</v>
      </c>
      <c r="C95" s="22" t="s">
        <v>30</v>
      </c>
      <c r="D95" s="22" t="s">
        <v>36</v>
      </c>
      <c r="E95" s="22" t="s">
        <v>20</v>
      </c>
      <c r="F95" s="22">
        <v>36</v>
      </c>
      <c r="G95" s="22">
        <v>45</v>
      </c>
      <c r="H95" s="22">
        <v>0.44800000000000001</v>
      </c>
      <c r="I95" s="22">
        <v>0.875</v>
      </c>
    </row>
    <row r="96" spans="1:9" x14ac:dyDescent="0.3">
      <c r="A96" s="22">
        <v>95</v>
      </c>
      <c r="B96" s="22" t="s">
        <v>142</v>
      </c>
      <c r="C96" s="22" t="s">
        <v>30</v>
      </c>
      <c r="D96" s="22" t="s">
        <v>36</v>
      </c>
      <c r="E96" s="22" t="s">
        <v>20</v>
      </c>
      <c r="F96" s="22">
        <v>45</v>
      </c>
      <c r="G96" s="22">
        <v>54</v>
      </c>
      <c r="H96" s="22">
        <v>0.44800000000000001</v>
      </c>
      <c r="I96" s="22">
        <v>0.875</v>
      </c>
    </row>
    <row r="97" spans="1:9" x14ac:dyDescent="0.3">
      <c r="A97" s="22">
        <v>96</v>
      </c>
      <c r="B97" s="22" t="s">
        <v>143</v>
      </c>
      <c r="C97" s="22" t="s">
        <v>30</v>
      </c>
      <c r="D97" s="22" t="s">
        <v>36</v>
      </c>
      <c r="E97" s="22" t="s">
        <v>20</v>
      </c>
      <c r="F97" s="22">
        <v>54</v>
      </c>
      <c r="G97" s="22">
        <v>63</v>
      </c>
      <c r="H97" s="22">
        <v>0.44800000000000001</v>
      </c>
      <c r="I97" s="22">
        <v>0.875</v>
      </c>
    </row>
    <row r="98" spans="1:9" x14ac:dyDescent="0.3">
      <c r="A98" s="22">
        <v>97</v>
      </c>
      <c r="B98" s="22" t="s">
        <v>144</v>
      </c>
      <c r="C98" s="22" t="s">
        <v>30</v>
      </c>
      <c r="D98" s="22" t="s">
        <v>36</v>
      </c>
      <c r="E98" s="22" t="s">
        <v>20</v>
      </c>
      <c r="F98" s="22">
        <v>63</v>
      </c>
      <c r="G98" s="22">
        <v>72</v>
      </c>
      <c r="H98" s="22">
        <v>0.44800000000000001</v>
      </c>
      <c r="I98" s="22">
        <v>0.875</v>
      </c>
    </row>
    <row r="99" spans="1:9" x14ac:dyDescent="0.3">
      <c r="A99" s="22">
        <v>98</v>
      </c>
      <c r="B99" s="22" t="s">
        <v>145</v>
      </c>
      <c r="C99" s="22" t="s">
        <v>30</v>
      </c>
      <c r="D99" s="22" t="s">
        <v>36</v>
      </c>
      <c r="E99" s="22" t="s">
        <v>20</v>
      </c>
      <c r="F99" s="22">
        <v>72</v>
      </c>
      <c r="G99" s="22">
        <v>81</v>
      </c>
      <c r="H99" s="22">
        <v>0.44800000000000001</v>
      </c>
      <c r="I99" s="22">
        <v>0.875</v>
      </c>
    </row>
    <row r="100" spans="1:9" x14ac:dyDescent="0.3">
      <c r="A100" s="22">
        <v>99</v>
      </c>
      <c r="B100" s="22" t="s">
        <v>146</v>
      </c>
      <c r="C100" s="22" t="s">
        <v>30</v>
      </c>
      <c r="D100" s="22" t="s">
        <v>36</v>
      </c>
      <c r="E100" s="22" t="s">
        <v>20</v>
      </c>
      <c r="F100" s="22">
        <v>81</v>
      </c>
      <c r="G100" s="22">
        <v>90</v>
      </c>
      <c r="H100" s="22">
        <v>0.44800000000000001</v>
      </c>
      <c r="I100" s="22">
        <v>0.875</v>
      </c>
    </row>
    <row r="101" spans="1:9" x14ac:dyDescent="0.3">
      <c r="A101" s="22">
        <v>100</v>
      </c>
      <c r="B101" s="22" t="s">
        <v>147</v>
      </c>
      <c r="C101" s="22" t="s">
        <v>30</v>
      </c>
      <c r="D101" s="22" t="s">
        <v>36</v>
      </c>
      <c r="E101" s="22" t="s">
        <v>20</v>
      </c>
      <c r="F101" s="22">
        <v>90</v>
      </c>
      <c r="G101" s="22">
        <v>99</v>
      </c>
      <c r="H101" s="22">
        <v>0.44800000000000001</v>
      </c>
      <c r="I101" s="22">
        <v>0.875</v>
      </c>
    </row>
    <row r="102" spans="1:9" x14ac:dyDescent="0.3">
      <c r="A102" s="22">
        <v>101</v>
      </c>
      <c r="B102" s="22" t="s">
        <v>148</v>
      </c>
      <c r="C102" s="22" t="s">
        <v>30</v>
      </c>
      <c r="D102" s="22" t="s">
        <v>36</v>
      </c>
      <c r="E102" s="22" t="s">
        <v>20</v>
      </c>
      <c r="F102" s="22">
        <v>99</v>
      </c>
      <c r="G102" s="22">
        <v>108</v>
      </c>
      <c r="H102" s="22">
        <v>0.44800000000000001</v>
      </c>
      <c r="I102" s="22">
        <v>0.875</v>
      </c>
    </row>
    <row r="103" spans="1:9" x14ac:dyDescent="0.3">
      <c r="A103" s="22">
        <v>102</v>
      </c>
      <c r="B103" s="22" t="s">
        <v>149</v>
      </c>
      <c r="C103" s="22" t="s">
        <v>30</v>
      </c>
      <c r="D103" s="22" t="s">
        <v>36</v>
      </c>
      <c r="E103" s="22" t="s">
        <v>20</v>
      </c>
      <c r="F103" s="22">
        <v>108</v>
      </c>
      <c r="G103" s="22">
        <v>117</v>
      </c>
      <c r="H103" s="22">
        <v>0.44800000000000001</v>
      </c>
      <c r="I103" s="22">
        <v>0.875</v>
      </c>
    </row>
    <row r="104" spans="1:9" x14ac:dyDescent="0.3">
      <c r="A104" s="22">
        <v>103</v>
      </c>
      <c r="B104" s="22" t="s">
        <v>150</v>
      </c>
      <c r="C104" s="22" t="s">
        <v>30</v>
      </c>
      <c r="D104" s="22" t="s">
        <v>36</v>
      </c>
      <c r="E104" s="22" t="s">
        <v>20</v>
      </c>
      <c r="F104" s="22">
        <v>117</v>
      </c>
      <c r="G104" s="22">
        <v>126</v>
      </c>
      <c r="H104" s="22">
        <v>0.44800000000000001</v>
      </c>
      <c r="I104" s="22">
        <v>0.875</v>
      </c>
    </row>
    <row r="105" spans="1:9" x14ac:dyDescent="0.3">
      <c r="A105" s="22">
        <v>104</v>
      </c>
      <c r="B105" s="22" t="s">
        <v>151</v>
      </c>
      <c r="C105" s="22" t="s">
        <v>30</v>
      </c>
      <c r="D105" s="22" t="s">
        <v>36</v>
      </c>
      <c r="E105" s="22" t="s">
        <v>20</v>
      </c>
      <c r="F105" s="22">
        <v>126</v>
      </c>
      <c r="G105" s="22">
        <v>135</v>
      </c>
      <c r="H105" s="22">
        <v>0.44800000000000001</v>
      </c>
      <c r="I105" s="22">
        <v>0.875</v>
      </c>
    </row>
    <row r="106" spans="1:9" x14ac:dyDescent="0.3">
      <c r="A106" s="22">
        <v>105</v>
      </c>
      <c r="B106" s="22" t="s">
        <v>152</v>
      </c>
      <c r="C106" s="22" t="s">
        <v>30</v>
      </c>
      <c r="D106" s="22" t="s">
        <v>36</v>
      </c>
      <c r="E106" s="22" t="s">
        <v>20</v>
      </c>
      <c r="F106" s="22">
        <v>135</v>
      </c>
      <c r="G106" s="22">
        <v>144</v>
      </c>
      <c r="H106" s="22">
        <v>0.44800000000000001</v>
      </c>
      <c r="I106" s="22">
        <v>0.875</v>
      </c>
    </row>
    <row r="107" spans="1:9" x14ac:dyDescent="0.3">
      <c r="A107" s="22">
        <v>106</v>
      </c>
      <c r="B107" s="22" t="s">
        <v>153</v>
      </c>
      <c r="C107" s="22" t="s">
        <v>30</v>
      </c>
      <c r="D107" s="22" t="s">
        <v>36</v>
      </c>
      <c r="E107" s="22" t="s">
        <v>20</v>
      </c>
      <c r="F107" s="22">
        <v>144</v>
      </c>
      <c r="G107" s="22">
        <v>153</v>
      </c>
      <c r="H107" s="22">
        <v>0.44800000000000001</v>
      </c>
      <c r="I107" s="22">
        <v>0.875</v>
      </c>
    </row>
    <row r="108" spans="1:9" x14ac:dyDescent="0.3">
      <c r="A108" s="22">
        <v>107</v>
      </c>
      <c r="B108" s="22" t="s">
        <v>154</v>
      </c>
      <c r="C108" s="22" t="s">
        <v>30</v>
      </c>
      <c r="D108" s="22" t="s">
        <v>36</v>
      </c>
      <c r="E108" s="22" t="s">
        <v>20</v>
      </c>
      <c r="F108" s="22">
        <v>153</v>
      </c>
      <c r="G108" s="22">
        <v>162</v>
      </c>
      <c r="H108" s="22">
        <v>0.44800000000000001</v>
      </c>
      <c r="I108" s="22">
        <v>0.875</v>
      </c>
    </row>
    <row r="109" spans="1:9" x14ac:dyDescent="0.3">
      <c r="A109" s="22">
        <v>108</v>
      </c>
      <c r="B109" s="22" t="s">
        <v>155</v>
      </c>
      <c r="C109" s="22" t="s">
        <v>30</v>
      </c>
      <c r="D109" s="22" t="s">
        <v>36</v>
      </c>
      <c r="E109" s="22" t="s">
        <v>20</v>
      </c>
      <c r="F109" s="22">
        <v>162</v>
      </c>
      <c r="G109" s="22">
        <v>171</v>
      </c>
      <c r="H109" s="22">
        <v>0.44800000000000001</v>
      </c>
      <c r="I109" s="22">
        <v>0.875</v>
      </c>
    </row>
    <row r="110" spans="1:9" x14ac:dyDescent="0.3">
      <c r="A110" s="22">
        <v>109</v>
      </c>
      <c r="B110" s="22" t="s">
        <v>156</v>
      </c>
      <c r="C110" s="22" t="s">
        <v>28</v>
      </c>
      <c r="D110" s="22" t="s">
        <v>22</v>
      </c>
      <c r="E110" s="22" t="s">
        <v>20</v>
      </c>
      <c r="F110" s="22">
        <v>3</v>
      </c>
      <c r="G110" s="22">
        <v>12</v>
      </c>
      <c r="H110" s="22">
        <v>0.184</v>
      </c>
      <c r="I110" s="22">
        <v>1.35</v>
      </c>
    </row>
    <row r="111" spans="1:9" x14ac:dyDescent="0.3">
      <c r="A111" s="22">
        <v>110</v>
      </c>
      <c r="B111" s="22" t="s">
        <v>157</v>
      </c>
      <c r="C111" s="22" t="s">
        <v>28</v>
      </c>
      <c r="D111" s="22" t="s">
        <v>22</v>
      </c>
      <c r="E111" s="22" t="s">
        <v>20</v>
      </c>
      <c r="F111" s="22">
        <v>12</v>
      </c>
      <c r="G111" s="22">
        <v>21</v>
      </c>
      <c r="H111" s="22">
        <v>0.184</v>
      </c>
      <c r="I111" s="22">
        <v>1.35</v>
      </c>
    </row>
    <row r="112" spans="1:9" x14ac:dyDescent="0.3">
      <c r="A112" s="22">
        <v>111</v>
      </c>
      <c r="B112" s="22" t="s">
        <v>158</v>
      </c>
      <c r="C112" s="22" t="s">
        <v>28</v>
      </c>
      <c r="D112" s="22" t="s">
        <v>22</v>
      </c>
      <c r="E112" s="22" t="s">
        <v>20</v>
      </c>
      <c r="F112" s="22">
        <v>21</v>
      </c>
      <c r="G112" s="22">
        <v>30</v>
      </c>
      <c r="H112" s="22">
        <v>0.184</v>
      </c>
      <c r="I112" s="22">
        <v>1.35</v>
      </c>
    </row>
    <row r="113" spans="1:9" x14ac:dyDescent="0.3">
      <c r="A113" s="22">
        <v>112</v>
      </c>
      <c r="B113" s="22" t="s">
        <v>159</v>
      </c>
      <c r="C113" s="22" t="s">
        <v>28</v>
      </c>
      <c r="D113" s="22" t="s">
        <v>22</v>
      </c>
      <c r="E113" s="22" t="s">
        <v>20</v>
      </c>
      <c r="F113" s="22">
        <v>30</v>
      </c>
      <c r="G113" s="22">
        <v>39</v>
      </c>
      <c r="H113" s="22">
        <v>0.184</v>
      </c>
      <c r="I113" s="22">
        <v>1.35</v>
      </c>
    </row>
    <row r="114" spans="1:9" x14ac:dyDescent="0.3">
      <c r="A114" s="22">
        <v>113</v>
      </c>
      <c r="B114" s="22" t="s">
        <v>160</v>
      </c>
      <c r="C114" s="22" t="s">
        <v>28</v>
      </c>
      <c r="D114" s="22" t="s">
        <v>22</v>
      </c>
      <c r="E114" s="22" t="s">
        <v>20</v>
      </c>
      <c r="F114" s="22">
        <v>39</v>
      </c>
      <c r="G114" s="22">
        <v>48</v>
      </c>
      <c r="H114" s="22">
        <v>0.184</v>
      </c>
      <c r="I114" s="22">
        <v>1.35</v>
      </c>
    </row>
    <row r="115" spans="1:9" x14ac:dyDescent="0.3">
      <c r="A115" s="22">
        <v>114</v>
      </c>
      <c r="B115" s="22" t="s">
        <v>161</v>
      </c>
      <c r="C115" s="22" t="s">
        <v>28</v>
      </c>
      <c r="D115" s="22" t="s">
        <v>22</v>
      </c>
      <c r="E115" s="22" t="s">
        <v>20</v>
      </c>
      <c r="F115" s="22">
        <v>48</v>
      </c>
      <c r="G115" s="22">
        <v>57</v>
      </c>
      <c r="H115" s="22">
        <v>0.184</v>
      </c>
      <c r="I115" s="22">
        <v>1.35</v>
      </c>
    </row>
    <row r="116" spans="1:9" x14ac:dyDescent="0.3">
      <c r="A116" s="22">
        <v>115</v>
      </c>
      <c r="B116" s="22" t="s">
        <v>162</v>
      </c>
      <c r="C116" s="22" t="s">
        <v>28</v>
      </c>
      <c r="D116" s="22" t="s">
        <v>22</v>
      </c>
      <c r="E116" s="22" t="s">
        <v>20</v>
      </c>
      <c r="F116" s="22">
        <v>57</v>
      </c>
      <c r="G116" s="22">
        <v>66</v>
      </c>
      <c r="H116" s="22">
        <v>0.184</v>
      </c>
      <c r="I116" s="22">
        <v>1.35</v>
      </c>
    </row>
    <row r="117" spans="1:9" x14ac:dyDescent="0.3">
      <c r="A117" s="22">
        <v>116</v>
      </c>
      <c r="B117" s="22" t="s">
        <v>163</v>
      </c>
      <c r="C117" s="22" t="s">
        <v>28</v>
      </c>
      <c r="D117" s="22" t="s">
        <v>22</v>
      </c>
      <c r="E117" s="22" t="s">
        <v>20</v>
      </c>
      <c r="F117" s="22">
        <v>66</v>
      </c>
      <c r="G117" s="22">
        <v>75</v>
      </c>
      <c r="H117" s="22">
        <v>0.184</v>
      </c>
      <c r="I117" s="22">
        <v>1.35</v>
      </c>
    </row>
    <row r="118" spans="1:9" x14ac:dyDescent="0.3">
      <c r="A118" s="22">
        <v>117</v>
      </c>
      <c r="B118" s="22" t="s">
        <v>164</v>
      </c>
      <c r="C118" s="22" t="s">
        <v>28</v>
      </c>
      <c r="D118" s="22" t="s">
        <v>22</v>
      </c>
      <c r="E118" s="22" t="s">
        <v>20</v>
      </c>
      <c r="F118" s="22">
        <v>75</v>
      </c>
      <c r="G118" s="22">
        <v>84</v>
      </c>
      <c r="H118" s="22">
        <v>0.184</v>
      </c>
      <c r="I118" s="22">
        <v>1.35</v>
      </c>
    </row>
    <row r="119" spans="1:9" x14ac:dyDescent="0.3">
      <c r="A119" s="22">
        <v>118</v>
      </c>
      <c r="B119" s="22" t="s">
        <v>165</v>
      </c>
      <c r="C119" s="22" t="s">
        <v>28</v>
      </c>
      <c r="D119" s="22" t="s">
        <v>22</v>
      </c>
      <c r="E119" s="22" t="s">
        <v>20</v>
      </c>
      <c r="F119" s="22">
        <v>84</v>
      </c>
      <c r="G119" s="22">
        <v>93</v>
      </c>
      <c r="H119" s="22">
        <v>0.184</v>
      </c>
      <c r="I119" s="22">
        <v>1.35</v>
      </c>
    </row>
    <row r="120" spans="1:9" x14ac:dyDescent="0.3">
      <c r="A120" s="22">
        <v>119</v>
      </c>
      <c r="B120" s="22" t="s">
        <v>166</v>
      </c>
      <c r="C120" s="22" t="s">
        <v>28</v>
      </c>
      <c r="D120" s="22" t="s">
        <v>22</v>
      </c>
      <c r="E120" s="22" t="s">
        <v>20</v>
      </c>
      <c r="F120" s="22">
        <v>93</v>
      </c>
      <c r="G120" s="22">
        <v>102</v>
      </c>
      <c r="H120" s="22">
        <v>0.184</v>
      </c>
      <c r="I120" s="22">
        <v>1.35</v>
      </c>
    </row>
    <row r="121" spans="1:9" x14ac:dyDescent="0.3">
      <c r="A121" s="22">
        <v>120</v>
      </c>
      <c r="B121" s="22" t="s">
        <v>167</v>
      </c>
      <c r="C121" s="22" t="s">
        <v>28</v>
      </c>
      <c r="D121" s="22" t="s">
        <v>22</v>
      </c>
      <c r="E121" s="22" t="s">
        <v>20</v>
      </c>
      <c r="F121" s="22">
        <v>102</v>
      </c>
      <c r="G121" s="22">
        <v>111</v>
      </c>
      <c r="H121" s="22">
        <v>0.184</v>
      </c>
      <c r="I121" s="22">
        <v>1.35</v>
      </c>
    </row>
    <row r="122" spans="1:9" x14ac:dyDescent="0.3">
      <c r="A122" s="22">
        <v>121</v>
      </c>
      <c r="B122" s="22" t="s">
        <v>168</v>
      </c>
      <c r="C122" s="22" t="s">
        <v>28</v>
      </c>
      <c r="D122" s="22" t="s">
        <v>22</v>
      </c>
      <c r="E122" s="22" t="s">
        <v>20</v>
      </c>
      <c r="F122" s="22">
        <v>111</v>
      </c>
      <c r="G122" s="22">
        <v>120</v>
      </c>
      <c r="H122" s="22">
        <v>0.184</v>
      </c>
      <c r="I122" s="22">
        <v>1.35</v>
      </c>
    </row>
    <row r="123" spans="1:9" x14ac:dyDescent="0.3">
      <c r="A123" s="22">
        <v>122</v>
      </c>
      <c r="B123" s="22" t="s">
        <v>169</v>
      </c>
      <c r="C123" s="22" t="s">
        <v>28</v>
      </c>
      <c r="D123" s="22" t="s">
        <v>22</v>
      </c>
      <c r="E123" s="22" t="s">
        <v>20</v>
      </c>
      <c r="F123" s="22">
        <v>120</v>
      </c>
      <c r="G123" s="22">
        <v>129</v>
      </c>
      <c r="H123" s="22">
        <v>0.184</v>
      </c>
      <c r="I123" s="22">
        <v>1.35</v>
      </c>
    </row>
    <row r="124" spans="1:9" x14ac:dyDescent="0.3">
      <c r="A124" s="22">
        <v>123</v>
      </c>
      <c r="B124" s="22" t="s">
        <v>170</v>
      </c>
      <c r="C124" s="22" t="s">
        <v>28</v>
      </c>
      <c r="D124" s="22" t="s">
        <v>22</v>
      </c>
      <c r="E124" s="22" t="s">
        <v>20</v>
      </c>
      <c r="F124" s="22">
        <v>129</v>
      </c>
      <c r="G124" s="22">
        <v>138</v>
      </c>
      <c r="H124" s="22">
        <v>0.184</v>
      </c>
      <c r="I124" s="22">
        <v>1.35</v>
      </c>
    </row>
    <row r="125" spans="1:9" x14ac:dyDescent="0.3">
      <c r="A125" s="22">
        <v>124</v>
      </c>
      <c r="B125" s="22" t="s">
        <v>171</v>
      </c>
      <c r="C125" s="22" t="s">
        <v>28</v>
      </c>
      <c r="D125" s="22" t="s">
        <v>22</v>
      </c>
      <c r="E125" s="22" t="s">
        <v>20</v>
      </c>
      <c r="F125" s="22">
        <v>138</v>
      </c>
      <c r="G125" s="22">
        <v>147</v>
      </c>
      <c r="H125" s="22">
        <v>0.184</v>
      </c>
      <c r="I125" s="22">
        <v>1.35</v>
      </c>
    </row>
    <row r="126" spans="1:9" x14ac:dyDescent="0.3">
      <c r="A126" s="22">
        <v>125</v>
      </c>
      <c r="B126" s="22" t="s">
        <v>172</v>
      </c>
      <c r="C126" s="22" t="s">
        <v>28</v>
      </c>
      <c r="D126" s="22" t="s">
        <v>22</v>
      </c>
      <c r="E126" s="22" t="s">
        <v>20</v>
      </c>
      <c r="F126" s="22">
        <v>147</v>
      </c>
      <c r="G126" s="22">
        <v>156</v>
      </c>
      <c r="H126" s="22">
        <v>0.184</v>
      </c>
      <c r="I126" s="22">
        <v>1.35</v>
      </c>
    </row>
    <row r="127" spans="1:9" x14ac:dyDescent="0.3">
      <c r="A127" s="22">
        <v>126</v>
      </c>
      <c r="B127" s="22" t="s">
        <v>173</v>
      </c>
      <c r="C127" s="22" t="s">
        <v>28</v>
      </c>
      <c r="D127" s="22" t="s">
        <v>22</v>
      </c>
      <c r="E127" s="22" t="s">
        <v>20</v>
      </c>
      <c r="F127" s="22">
        <v>156</v>
      </c>
      <c r="G127" s="22">
        <v>165</v>
      </c>
      <c r="H127" s="22">
        <v>0.184</v>
      </c>
      <c r="I127" s="22">
        <v>1.35</v>
      </c>
    </row>
    <row r="128" spans="1:9" x14ac:dyDescent="0.3">
      <c r="A128" s="22">
        <v>127</v>
      </c>
      <c r="B128" s="22" t="s">
        <v>174</v>
      </c>
      <c r="C128" s="22" t="s">
        <v>31</v>
      </c>
      <c r="D128" s="22" t="s">
        <v>22</v>
      </c>
      <c r="E128" s="22" t="s">
        <v>20</v>
      </c>
      <c r="F128" s="22">
        <v>4</v>
      </c>
      <c r="G128" s="22">
        <v>13</v>
      </c>
      <c r="H128" s="22">
        <v>0.184</v>
      </c>
      <c r="I128" s="22">
        <v>1.35</v>
      </c>
    </row>
    <row r="129" spans="1:9" x14ac:dyDescent="0.3">
      <c r="A129" s="22">
        <v>128</v>
      </c>
      <c r="B129" s="22" t="s">
        <v>175</v>
      </c>
      <c r="C129" s="22" t="s">
        <v>31</v>
      </c>
      <c r="D129" s="22" t="s">
        <v>22</v>
      </c>
      <c r="E129" s="22" t="s">
        <v>20</v>
      </c>
      <c r="F129" s="22">
        <v>13</v>
      </c>
      <c r="G129" s="22">
        <v>22</v>
      </c>
      <c r="H129" s="22">
        <v>0.184</v>
      </c>
      <c r="I129" s="22">
        <v>1.35</v>
      </c>
    </row>
    <row r="130" spans="1:9" x14ac:dyDescent="0.3">
      <c r="A130" s="22">
        <v>129</v>
      </c>
      <c r="B130" s="22" t="s">
        <v>176</v>
      </c>
      <c r="C130" s="22" t="s">
        <v>31</v>
      </c>
      <c r="D130" s="22" t="s">
        <v>22</v>
      </c>
      <c r="E130" s="22" t="s">
        <v>20</v>
      </c>
      <c r="F130" s="22">
        <v>22</v>
      </c>
      <c r="G130" s="22">
        <v>31</v>
      </c>
      <c r="H130" s="22">
        <v>0.184</v>
      </c>
      <c r="I130" s="22">
        <v>1.35</v>
      </c>
    </row>
    <row r="131" spans="1:9" x14ac:dyDescent="0.3">
      <c r="A131" s="22">
        <v>130</v>
      </c>
      <c r="B131" s="22" t="s">
        <v>177</v>
      </c>
      <c r="C131" s="22" t="s">
        <v>31</v>
      </c>
      <c r="D131" s="22" t="s">
        <v>22</v>
      </c>
      <c r="E131" s="22" t="s">
        <v>20</v>
      </c>
      <c r="F131" s="22">
        <v>31</v>
      </c>
      <c r="G131" s="22">
        <v>40</v>
      </c>
      <c r="H131" s="22">
        <v>0.184</v>
      </c>
      <c r="I131" s="22">
        <v>1.35</v>
      </c>
    </row>
    <row r="132" spans="1:9" x14ac:dyDescent="0.3">
      <c r="A132" s="22">
        <v>131</v>
      </c>
      <c r="B132" s="22" t="s">
        <v>178</v>
      </c>
      <c r="C132" s="22" t="s">
        <v>31</v>
      </c>
      <c r="D132" s="22" t="s">
        <v>22</v>
      </c>
      <c r="E132" s="22" t="s">
        <v>20</v>
      </c>
      <c r="F132" s="22">
        <v>40</v>
      </c>
      <c r="G132" s="22">
        <v>49</v>
      </c>
      <c r="H132" s="22">
        <v>0.184</v>
      </c>
      <c r="I132" s="22">
        <v>1.35</v>
      </c>
    </row>
    <row r="133" spans="1:9" x14ac:dyDescent="0.3">
      <c r="A133" s="22">
        <v>132</v>
      </c>
      <c r="B133" s="22" t="s">
        <v>179</v>
      </c>
      <c r="C133" s="22" t="s">
        <v>31</v>
      </c>
      <c r="D133" s="22" t="s">
        <v>22</v>
      </c>
      <c r="E133" s="22" t="s">
        <v>20</v>
      </c>
      <c r="F133" s="22">
        <v>49</v>
      </c>
      <c r="G133" s="22">
        <v>58</v>
      </c>
      <c r="H133" s="22">
        <v>0.184</v>
      </c>
      <c r="I133" s="22">
        <v>1.35</v>
      </c>
    </row>
    <row r="134" spans="1:9" x14ac:dyDescent="0.3">
      <c r="A134" s="22">
        <v>133</v>
      </c>
      <c r="B134" s="22" t="s">
        <v>180</v>
      </c>
      <c r="C134" s="22" t="s">
        <v>31</v>
      </c>
      <c r="D134" s="22" t="s">
        <v>22</v>
      </c>
      <c r="E134" s="22" t="s">
        <v>20</v>
      </c>
      <c r="F134" s="22">
        <v>58</v>
      </c>
      <c r="G134" s="22">
        <v>67</v>
      </c>
      <c r="H134" s="22">
        <v>0.184</v>
      </c>
      <c r="I134" s="22">
        <v>1.35</v>
      </c>
    </row>
    <row r="135" spans="1:9" x14ac:dyDescent="0.3">
      <c r="A135" s="22">
        <v>134</v>
      </c>
      <c r="B135" s="22" t="s">
        <v>181</v>
      </c>
      <c r="C135" s="22" t="s">
        <v>31</v>
      </c>
      <c r="D135" s="22" t="s">
        <v>22</v>
      </c>
      <c r="E135" s="22" t="s">
        <v>20</v>
      </c>
      <c r="F135" s="22">
        <v>67</v>
      </c>
      <c r="G135" s="22">
        <v>76</v>
      </c>
      <c r="H135" s="22">
        <v>0.184</v>
      </c>
      <c r="I135" s="22">
        <v>1.35</v>
      </c>
    </row>
    <row r="136" spans="1:9" x14ac:dyDescent="0.3">
      <c r="A136" s="22">
        <v>135</v>
      </c>
      <c r="B136" s="22" t="s">
        <v>182</v>
      </c>
      <c r="C136" s="22" t="s">
        <v>31</v>
      </c>
      <c r="D136" s="22" t="s">
        <v>22</v>
      </c>
      <c r="E136" s="22" t="s">
        <v>20</v>
      </c>
      <c r="F136" s="22">
        <v>76</v>
      </c>
      <c r="G136" s="22">
        <v>85</v>
      </c>
      <c r="H136" s="22">
        <v>0.184</v>
      </c>
      <c r="I136" s="22">
        <v>1.35</v>
      </c>
    </row>
    <row r="137" spans="1:9" x14ac:dyDescent="0.3">
      <c r="A137" s="22">
        <v>136</v>
      </c>
      <c r="B137" s="22" t="s">
        <v>183</v>
      </c>
      <c r="C137" s="22" t="s">
        <v>31</v>
      </c>
      <c r="D137" s="22" t="s">
        <v>22</v>
      </c>
      <c r="E137" s="22" t="s">
        <v>20</v>
      </c>
      <c r="F137" s="22">
        <v>85</v>
      </c>
      <c r="G137" s="22">
        <v>94</v>
      </c>
      <c r="H137" s="22">
        <v>0.184</v>
      </c>
      <c r="I137" s="22">
        <v>1.35</v>
      </c>
    </row>
    <row r="138" spans="1:9" x14ac:dyDescent="0.3">
      <c r="A138" s="22">
        <v>137</v>
      </c>
      <c r="B138" s="22" t="s">
        <v>184</v>
      </c>
      <c r="C138" s="22" t="s">
        <v>31</v>
      </c>
      <c r="D138" s="22" t="s">
        <v>22</v>
      </c>
      <c r="E138" s="22" t="s">
        <v>20</v>
      </c>
      <c r="F138" s="22">
        <v>94</v>
      </c>
      <c r="G138" s="22">
        <v>103</v>
      </c>
      <c r="H138" s="22">
        <v>0.184</v>
      </c>
      <c r="I138" s="22">
        <v>1.35</v>
      </c>
    </row>
    <row r="139" spans="1:9" x14ac:dyDescent="0.3">
      <c r="A139" s="22">
        <v>138</v>
      </c>
      <c r="B139" s="22" t="s">
        <v>185</v>
      </c>
      <c r="C139" s="22" t="s">
        <v>31</v>
      </c>
      <c r="D139" s="22" t="s">
        <v>22</v>
      </c>
      <c r="E139" s="22" t="s">
        <v>20</v>
      </c>
      <c r="F139" s="22">
        <v>103</v>
      </c>
      <c r="G139" s="22">
        <v>112</v>
      </c>
      <c r="H139" s="22">
        <v>0.184</v>
      </c>
      <c r="I139" s="22">
        <v>1.35</v>
      </c>
    </row>
    <row r="140" spans="1:9" x14ac:dyDescent="0.3">
      <c r="A140" s="22">
        <v>139</v>
      </c>
      <c r="B140" s="22" t="s">
        <v>186</v>
      </c>
      <c r="C140" s="22" t="s">
        <v>31</v>
      </c>
      <c r="D140" s="22" t="s">
        <v>22</v>
      </c>
      <c r="E140" s="22" t="s">
        <v>20</v>
      </c>
      <c r="F140" s="22">
        <v>112</v>
      </c>
      <c r="G140" s="22">
        <v>121</v>
      </c>
      <c r="H140" s="22">
        <v>0.184</v>
      </c>
      <c r="I140" s="22">
        <v>1.35</v>
      </c>
    </row>
    <row r="141" spans="1:9" x14ac:dyDescent="0.3">
      <c r="A141" s="22">
        <v>140</v>
      </c>
      <c r="B141" s="22" t="s">
        <v>187</v>
      </c>
      <c r="C141" s="22" t="s">
        <v>31</v>
      </c>
      <c r="D141" s="22" t="s">
        <v>22</v>
      </c>
      <c r="E141" s="22" t="s">
        <v>20</v>
      </c>
      <c r="F141" s="22">
        <v>121</v>
      </c>
      <c r="G141" s="22">
        <v>130</v>
      </c>
      <c r="H141" s="22">
        <v>0.184</v>
      </c>
      <c r="I141" s="22">
        <v>1.35</v>
      </c>
    </row>
    <row r="142" spans="1:9" x14ac:dyDescent="0.3">
      <c r="A142" s="22">
        <v>141</v>
      </c>
      <c r="B142" s="22" t="s">
        <v>188</v>
      </c>
      <c r="C142" s="22" t="s">
        <v>31</v>
      </c>
      <c r="D142" s="22" t="s">
        <v>22</v>
      </c>
      <c r="E142" s="22" t="s">
        <v>20</v>
      </c>
      <c r="F142" s="22">
        <v>130</v>
      </c>
      <c r="G142" s="22">
        <v>139</v>
      </c>
      <c r="H142" s="22">
        <v>0.184</v>
      </c>
      <c r="I142" s="22">
        <v>1.35</v>
      </c>
    </row>
    <row r="143" spans="1:9" x14ac:dyDescent="0.3">
      <c r="A143" s="22">
        <v>142</v>
      </c>
      <c r="B143" s="22" t="s">
        <v>189</v>
      </c>
      <c r="C143" s="22" t="s">
        <v>31</v>
      </c>
      <c r="D143" s="22" t="s">
        <v>22</v>
      </c>
      <c r="E143" s="22" t="s">
        <v>20</v>
      </c>
      <c r="F143" s="22">
        <v>139</v>
      </c>
      <c r="G143" s="22">
        <v>148</v>
      </c>
      <c r="H143" s="22">
        <v>0.184</v>
      </c>
      <c r="I143" s="22">
        <v>1.35</v>
      </c>
    </row>
    <row r="144" spans="1:9" x14ac:dyDescent="0.3">
      <c r="A144" s="22">
        <v>143</v>
      </c>
      <c r="B144" s="22" t="s">
        <v>190</v>
      </c>
      <c r="C144" s="22" t="s">
        <v>31</v>
      </c>
      <c r="D144" s="22" t="s">
        <v>22</v>
      </c>
      <c r="E144" s="22" t="s">
        <v>20</v>
      </c>
      <c r="F144" s="22">
        <v>148</v>
      </c>
      <c r="G144" s="22">
        <v>157</v>
      </c>
      <c r="H144" s="22">
        <v>0.184</v>
      </c>
      <c r="I144" s="22">
        <v>1.35</v>
      </c>
    </row>
    <row r="145" spans="1:9" x14ac:dyDescent="0.3">
      <c r="A145" s="22">
        <v>144</v>
      </c>
      <c r="B145" s="22" t="s">
        <v>191</v>
      </c>
      <c r="C145" s="22" t="s">
        <v>31</v>
      </c>
      <c r="D145" s="22" t="s">
        <v>22</v>
      </c>
      <c r="E145" s="22" t="s">
        <v>20</v>
      </c>
      <c r="F145" s="22">
        <v>157</v>
      </c>
      <c r="G145" s="22">
        <v>166</v>
      </c>
      <c r="H145" s="22">
        <v>0.184</v>
      </c>
      <c r="I145" s="22">
        <v>1.35</v>
      </c>
    </row>
    <row r="146" spans="1:9" x14ac:dyDescent="0.3">
      <c r="A146" s="22">
        <v>145</v>
      </c>
      <c r="B146" s="22" t="s">
        <v>192</v>
      </c>
      <c r="C146" s="22" t="s">
        <v>32</v>
      </c>
      <c r="D146" s="22" t="s">
        <v>22</v>
      </c>
      <c r="E146" s="22" t="s">
        <v>20</v>
      </c>
      <c r="F146" s="22">
        <v>5</v>
      </c>
      <c r="G146" s="22">
        <v>14</v>
      </c>
      <c r="H146" s="22">
        <v>0.184</v>
      </c>
      <c r="I146" s="22">
        <v>1.35</v>
      </c>
    </row>
    <row r="147" spans="1:9" x14ac:dyDescent="0.3">
      <c r="A147" s="22">
        <v>146</v>
      </c>
      <c r="B147" s="22" t="s">
        <v>193</v>
      </c>
      <c r="C147" s="22" t="s">
        <v>32</v>
      </c>
      <c r="D147" s="22" t="s">
        <v>22</v>
      </c>
      <c r="E147" s="22" t="s">
        <v>20</v>
      </c>
      <c r="F147" s="22">
        <v>14</v>
      </c>
      <c r="G147" s="22">
        <v>23</v>
      </c>
      <c r="H147" s="22">
        <v>0.184</v>
      </c>
      <c r="I147" s="22">
        <v>1.35</v>
      </c>
    </row>
    <row r="148" spans="1:9" x14ac:dyDescent="0.3">
      <c r="A148" s="22">
        <v>147</v>
      </c>
      <c r="B148" s="22" t="s">
        <v>194</v>
      </c>
      <c r="C148" s="22" t="s">
        <v>32</v>
      </c>
      <c r="D148" s="22" t="s">
        <v>22</v>
      </c>
      <c r="E148" s="22" t="s">
        <v>20</v>
      </c>
      <c r="F148" s="22">
        <v>23</v>
      </c>
      <c r="G148" s="22">
        <v>32</v>
      </c>
      <c r="H148" s="22">
        <v>0.184</v>
      </c>
      <c r="I148" s="22">
        <v>1.35</v>
      </c>
    </row>
    <row r="149" spans="1:9" x14ac:dyDescent="0.3">
      <c r="A149" s="22">
        <v>148</v>
      </c>
      <c r="B149" s="22" t="s">
        <v>195</v>
      </c>
      <c r="C149" s="22" t="s">
        <v>32</v>
      </c>
      <c r="D149" s="22" t="s">
        <v>22</v>
      </c>
      <c r="E149" s="22" t="s">
        <v>20</v>
      </c>
      <c r="F149" s="22">
        <v>32</v>
      </c>
      <c r="G149" s="22">
        <v>41</v>
      </c>
      <c r="H149" s="22">
        <v>0.184</v>
      </c>
      <c r="I149" s="22">
        <v>1.35</v>
      </c>
    </row>
    <row r="150" spans="1:9" x14ac:dyDescent="0.3">
      <c r="A150" s="22">
        <v>149</v>
      </c>
      <c r="B150" s="22" t="s">
        <v>196</v>
      </c>
      <c r="C150" s="22" t="s">
        <v>32</v>
      </c>
      <c r="D150" s="22" t="s">
        <v>22</v>
      </c>
      <c r="E150" s="22" t="s">
        <v>20</v>
      </c>
      <c r="F150" s="22">
        <v>41</v>
      </c>
      <c r="G150" s="22">
        <v>50</v>
      </c>
      <c r="H150" s="22">
        <v>0.184</v>
      </c>
      <c r="I150" s="22">
        <v>1.35</v>
      </c>
    </row>
    <row r="151" spans="1:9" x14ac:dyDescent="0.3">
      <c r="A151" s="22">
        <v>150</v>
      </c>
      <c r="B151" s="22" t="s">
        <v>197</v>
      </c>
      <c r="C151" s="22" t="s">
        <v>32</v>
      </c>
      <c r="D151" s="22" t="s">
        <v>22</v>
      </c>
      <c r="E151" s="22" t="s">
        <v>20</v>
      </c>
      <c r="F151" s="22">
        <v>50</v>
      </c>
      <c r="G151" s="22">
        <v>59</v>
      </c>
      <c r="H151" s="22">
        <v>0.184</v>
      </c>
      <c r="I151" s="22">
        <v>1.35</v>
      </c>
    </row>
    <row r="152" spans="1:9" x14ac:dyDescent="0.3">
      <c r="A152" s="22">
        <v>151</v>
      </c>
      <c r="B152" s="22" t="s">
        <v>198</v>
      </c>
      <c r="C152" s="22" t="s">
        <v>32</v>
      </c>
      <c r="D152" s="22" t="s">
        <v>22</v>
      </c>
      <c r="E152" s="22" t="s">
        <v>20</v>
      </c>
      <c r="F152" s="22">
        <v>59</v>
      </c>
      <c r="G152" s="22">
        <v>68</v>
      </c>
      <c r="H152" s="22">
        <v>0.184</v>
      </c>
      <c r="I152" s="22">
        <v>1.35</v>
      </c>
    </row>
    <row r="153" spans="1:9" x14ac:dyDescent="0.3">
      <c r="A153" s="22">
        <v>152</v>
      </c>
      <c r="B153" s="22" t="s">
        <v>199</v>
      </c>
      <c r="C153" s="22" t="s">
        <v>32</v>
      </c>
      <c r="D153" s="22" t="s">
        <v>22</v>
      </c>
      <c r="E153" s="22" t="s">
        <v>20</v>
      </c>
      <c r="F153" s="22">
        <v>68</v>
      </c>
      <c r="G153" s="22">
        <v>77</v>
      </c>
      <c r="H153" s="22">
        <v>0.184</v>
      </c>
      <c r="I153" s="22">
        <v>1.35</v>
      </c>
    </row>
    <row r="154" spans="1:9" x14ac:dyDescent="0.3">
      <c r="A154" s="22">
        <v>153</v>
      </c>
      <c r="B154" s="22" t="s">
        <v>200</v>
      </c>
      <c r="C154" s="22" t="s">
        <v>32</v>
      </c>
      <c r="D154" s="22" t="s">
        <v>22</v>
      </c>
      <c r="E154" s="22" t="s">
        <v>20</v>
      </c>
      <c r="F154" s="22">
        <v>77</v>
      </c>
      <c r="G154" s="22">
        <v>86</v>
      </c>
      <c r="H154" s="22">
        <v>0.184</v>
      </c>
      <c r="I154" s="22">
        <v>1.35</v>
      </c>
    </row>
    <row r="155" spans="1:9" x14ac:dyDescent="0.3">
      <c r="A155" s="22">
        <v>154</v>
      </c>
      <c r="B155" s="22" t="s">
        <v>201</v>
      </c>
      <c r="C155" s="22" t="s">
        <v>32</v>
      </c>
      <c r="D155" s="22" t="s">
        <v>22</v>
      </c>
      <c r="E155" s="22" t="s">
        <v>20</v>
      </c>
      <c r="F155" s="22">
        <v>86</v>
      </c>
      <c r="G155" s="22">
        <v>95</v>
      </c>
      <c r="H155" s="22">
        <v>0.184</v>
      </c>
      <c r="I155" s="22">
        <v>1.35</v>
      </c>
    </row>
    <row r="156" spans="1:9" x14ac:dyDescent="0.3">
      <c r="A156" s="22">
        <v>155</v>
      </c>
      <c r="B156" s="22" t="s">
        <v>202</v>
      </c>
      <c r="C156" s="22" t="s">
        <v>32</v>
      </c>
      <c r="D156" s="22" t="s">
        <v>22</v>
      </c>
      <c r="E156" s="22" t="s">
        <v>20</v>
      </c>
      <c r="F156" s="22">
        <v>95</v>
      </c>
      <c r="G156" s="22">
        <v>104</v>
      </c>
      <c r="H156" s="22">
        <v>0.184</v>
      </c>
      <c r="I156" s="22">
        <v>1.35</v>
      </c>
    </row>
    <row r="157" spans="1:9" x14ac:dyDescent="0.3">
      <c r="A157" s="22">
        <v>156</v>
      </c>
      <c r="B157" s="22" t="s">
        <v>203</v>
      </c>
      <c r="C157" s="22" t="s">
        <v>32</v>
      </c>
      <c r="D157" s="22" t="s">
        <v>22</v>
      </c>
      <c r="E157" s="22" t="s">
        <v>20</v>
      </c>
      <c r="F157" s="22">
        <v>104</v>
      </c>
      <c r="G157" s="22">
        <v>113</v>
      </c>
      <c r="H157" s="22">
        <v>0.184</v>
      </c>
      <c r="I157" s="22">
        <v>1.35</v>
      </c>
    </row>
    <row r="158" spans="1:9" x14ac:dyDescent="0.3">
      <c r="A158" s="22">
        <v>157</v>
      </c>
      <c r="B158" s="22" t="s">
        <v>204</v>
      </c>
      <c r="C158" s="22" t="s">
        <v>32</v>
      </c>
      <c r="D158" s="22" t="s">
        <v>22</v>
      </c>
      <c r="E158" s="22" t="s">
        <v>20</v>
      </c>
      <c r="F158" s="22">
        <v>113</v>
      </c>
      <c r="G158" s="22">
        <v>122</v>
      </c>
      <c r="H158" s="22">
        <v>0.184</v>
      </c>
      <c r="I158" s="22">
        <v>1.35</v>
      </c>
    </row>
    <row r="159" spans="1:9" x14ac:dyDescent="0.3">
      <c r="A159" s="22">
        <v>158</v>
      </c>
      <c r="B159" s="22" t="s">
        <v>205</v>
      </c>
      <c r="C159" s="22" t="s">
        <v>32</v>
      </c>
      <c r="D159" s="22" t="s">
        <v>22</v>
      </c>
      <c r="E159" s="22" t="s">
        <v>20</v>
      </c>
      <c r="F159" s="22">
        <v>122</v>
      </c>
      <c r="G159" s="22">
        <v>131</v>
      </c>
      <c r="H159" s="22">
        <v>0.184</v>
      </c>
      <c r="I159" s="22">
        <v>1.35</v>
      </c>
    </row>
    <row r="160" spans="1:9" x14ac:dyDescent="0.3">
      <c r="A160" s="22">
        <v>159</v>
      </c>
      <c r="B160" s="22" t="s">
        <v>206</v>
      </c>
      <c r="C160" s="22" t="s">
        <v>32</v>
      </c>
      <c r="D160" s="22" t="s">
        <v>22</v>
      </c>
      <c r="E160" s="22" t="s">
        <v>20</v>
      </c>
      <c r="F160" s="22">
        <v>131</v>
      </c>
      <c r="G160" s="22">
        <v>140</v>
      </c>
      <c r="H160" s="22">
        <v>0.184</v>
      </c>
      <c r="I160" s="22">
        <v>1.35</v>
      </c>
    </row>
    <row r="161" spans="1:9" x14ac:dyDescent="0.3">
      <c r="A161" s="22">
        <v>160</v>
      </c>
      <c r="B161" s="22" t="s">
        <v>207</v>
      </c>
      <c r="C161" s="22" t="s">
        <v>32</v>
      </c>
      <c r="D161" s="22" t="s">
        <v>22</v>
      </c>
      <c r="E161" s="22" t="s">
        <v>20</v>
      </c>
      <c r="F161" s="22">
        <v>140</v>
      </c>
      <c r="G161" s="22">
        <v>149</v>
      </c>
      <c r="H161" s="22">
        <v>0.184</v>
      </c>
      <c r="I161" s="22">
        <v>1.35</v>
      </c>
    </row>
    <row r="162" spans="1:9" x14ac:dyDescent="0.3">
      <c r="A162" s="22">
        <v>161</v>
      </c>
      <c r="B162" s="22" t="s">
        <v>208</v>
      </c>
      <c r="C162" s="22" t="s">
        <v>32</v>
      </c>
      <c r="D162" s="22" t="s">
        <v>22</v>
      </c>
      <c r="E162" s="22" t="s">
        <v>20</v>
      </c>
      <c r="F162" s="22">
        <v>149</v>
      </c>
      <c r="G162" s="22">
        <v>158</v>
      </c>
      <c r="H162" s="22">
        <v>0.184</v>
      </c>
      <c r="I162" s="22">
        <v>1.35</v>
      </c>
    </row>
    <row r="163" spans="1:9" x14ac:dyDescent="0.3">
      <c r="A163" s="22">
        <v>162</v>
      </c>
      <c r="B163" s="22" t="s">
        <v>209</v>
      </c>
      <c r="C163" s="22" t="s">
        <v>32</v>
      </c>
      <c r="D163" s="22" t="s">
        <v>22</v>
      </c>
      <c r="E163" s="22" t="s">
        <v>20</v>
      </c>
      <c r="F163" s="22">
        <v>158</v>
      </c>
      <c r="G163" s="22">
        <v>167</v>
      </c>
      <c r="H163" s="22">
        <v>0.184</v>
      </c>
      <c r="I163" s="22">
        <v>1.35</v>
      </c>
    </row>
    <row r="164" spans="1:9" x14ac:dyDescent="0.3">
      <c r="A164" s="22">
        <v>163</v>
      </c>
      <c r="B164" s="22" t="s">
        <v>210</v>
      </c>
      <c r="C164" s="22" t="s">
        <v>33</v>
      </c>
      <c r="D164" s="22" t="s">
        <v>22</v>
      </c>
      <c r="E164" s="22" t="s">
        <v>20</v>
      </c>
      <c r="F164" s="22">
        <v>6</v>
      </c>
      <c r="G164" s="22">
        <v>15</v>
      </c>
      <c r="H164" s="22">
        <v>0.184</v>
      </c>
      <c r="I164" s="22">
        <v>1.35</v>
      </c>
    </row>
    <row r="165" spans="1:9" x14ac:dyDescent="0.3">
      <c r="A165" s="22">
        <v>164</v>
      </c>
      <c r="B165" s="22" t="s">
        <v>211</v>
      </c>
      <c r="C165" s="22" t="s">
        <v>33</v>
      </c>
      <c r="D165" s="22" t="s">
        <v>22</v>
      </c>
      <c r="E165" s="22" t="s">
        <v>20</v>
      </c>
      <c r="F165" s="22">
        <v>15</v>
      </c>
      <c r="G165" s="22">
        <v>24</v>
      </c>
      <c r="H165" s="22">
        <v>0.184</v>
      </c>
      <c r="I165" s="22">
        <v>1.35</v>
      </c>
    </row>
    <row r="166" spans="1:9" x14ac:dyDescent="0.3">
      <c r="A166" s="22">
        <v>165</v>
      </c>
      <c r="B166" s="22" t="s">
        <v>212</v>
      </c>
      <c r="C166" s="22" t="s">
        <v>33</v>
      </c>
      <c r="D166" s="22" t="s">
        <v>22</v>
      </c>
      <c r="E166" s="22" t="s">
        <v>20</v>
      </c>
      <c r="F166" s="22">
        <v>24</v>
      </c>
      <c r="G166" s="22">
        <v>33</v>
      </c>
      <c r="H166" s="22">
        <v>0.184</v>
      </c>
      <c r="I166" s="22">
        <v>1.35</v>
      </c>
    </row>
    <row r="167" spans="1:9" x14ac:dyDescent="0.3">
      <c r="A167" s="22">
        <v>166</v>
      </c>
      <c r="B167" s="22" t="s">
        <v>213</v>
      </c>
      <c r="C167" s="22" t="s">
        <v>33</v>
      </c>
      <c r="D167" s="22" t="s">
        <v>22</v>
      </c>
      <c r="E167" s="22" t="s">
        <v>20</v>
      </c>
      <c r="F167" s="22">
        <v>33</v>
      </c>
      <c r="G167" s="22">
        <v>42</v>
      </c>
      <c r="H167" s="22">
        <v>0.184</v>
      </c>
      <c r="I167" s="22">
        <v>1.35</v>
      </c>
    </row>
    <row r="168" spans="1:9" x14ac:dyDescent="0.3">
      <c r="A168" s="22">
        <v>167</v>
      </c>
      <c r="B168" s="22" t="s">
        <v>214</v>
      </c>
      <c r="C168" s="22" t="s">
        <v>33</v>
      </c>
      <c r="D168" s="22" t="s">
        <v>22</v>
      </c>
      <c r="E168" s="22" t="s">
        <v>20</v>
      </c>
      <c r="F168" s="22">
        <v>42</v>
      </c>
      <c r="G168" s="22">
        <v>51</v>
      </c>
      <c r="H168" s="22">
        <v>0.184</v>
      </c>
      <c r="I168" s="22">
        <v>1.35</v>
      </c>
    </row>
    <row r="169" spans="1:9" x14ac:dyDescent="0.3">
      <c r="A169" s="22">
        <v>168</v>
      </c>
      <c r="B169" s="22" t="s">
        <v>215</v>
      </c>
      <c r="C169" s="22" t="s">
        <v>33</v>
      </c>
      <c r="D169" s="22" t="s">
        <v>22</v>
      </c>
      <c r="E169" s="22" t="s">
        <v>20</v>
      </c>
      <c r="F169" s="22">
        <v>51</v>
      </c>
      <c r="G169" s="22">
        <v>60</v>
      </c>
      <c r="H169" s="22">
        <v>0.184</v>
      </c>
      <c r="I169" s="22">
        <v>1.35</v>
      </c>
    </row>
    <row r="170" spans="1:9" x14ac:dyDescent="0.3">
      <c r="A170" s="22">
        <v>169</v>
      </c>
      <c r="B170" s="22" t="s">
        <v>216</v>
      </c>
      <c r="C170" s="22" t="s">
        <v>33</v>
      </c>
      <c r="D170" s="22" t="s">
        <v>22</v>
      </c>
      <c r="E170" s="22" t="s">
        <v>20</v>
      </c>
      <c r="F170" s="22">
        <v>60</v>
      </c>
      <c r="G170" s="22">
        <v>69</v>
      </c>
      <c r="H170" s="22">
        <v>0.184</v>
      </c>
      <c r="I170" s="22">
        <v>1.35</v>
      </c>
    </row>
    <row r="171" spans="1:9" x14ac:dyDescent="0.3">
      <c r="A171" s="22">
        <v>170</v>
      </c>
      <c r="B171" s="22" t="s">
        <v>217</v>
      </c>
      <c r="C171" s="22" t="s">
        <v>33</v>
      </c>
      <c r="D171" s="22" t="s">
        <v>22</v>
      </c>
      <c r="E171" s="22" t="s">
        <v>20</v>
      </c>
      <c r="F171" s="22">
        <v>69</v>
      </c>
      <c r="G171" s="22">
        <v>78</v>
      </c>
      <c r="H171" s="22">
        <v>0.184</v>
      </c>
      <c r="I171" s="22">
        <v>1.35</v>
      </c>
    </row>
    <row r="172" spans="1:9" x14ac:dyDescent="0.3">
      <c r="A172" s="22">
        <v>171</v>
      </c>
      <c r="B172" s="22" t="s">
        <v>218</v>
      </c>
      <c r="C172" s="22" t="s">
        <v>33</v>
      </c>
      <c r="D172" s="22" t="s">
        <v>22</v>
      </c>
      <c r="E172" s="22" t="s">
        <v>20</v>
      </c>
      <c r="F172" s="22">
        <v>78</v>
      </c>
      <c r="G172" s="22">
        <v>87</v>
      </c>
      <c r="H172" s="22">
        <v>0.184</v>
      </c>
      <c r="I172" s="22">
        <v>1.35</v>
      </c>
    </row>
    <row r="173" spans="1:9" x14ac:dyDescent="0.3">
      <c r="A173" s="22">
        <v>172</v>
      </c>
      <c r="B173" s="22" t="s">
        <v>219</v>
      </c>
      <c r="C173" s="22" t="s">
        <v>33</v>
      </c>
      <c r="D173" s="22" t="s">
        <v>22</v>
      </c>
      <c r="E173" s="22" t="s">
        <v>20</v>
      </c>
      <c r="F173" s="22">
        <v>87</v>
      </c>
      <c r="G173" s="22">
        <v>96</v>
      </c>
      <c r="H173" s="22">
        <v>0.184</v>
      </c>
      <c r="I173" s="22">
        <v>1.35</v>
      </c>
    </row>
    <row r="174" spans="1:9" x14ac:dyDescent="0.3">
      <c r="A174" s="22">
        <v>173</v>
      </c>
      <c r="B174" s="22" t="s">
        <v>220</v>
      </c>
      <c r="C174" s="22" t="s">
        <v>33</v>
      </c>
      <c r="D174" s="22" t="s">
        <v>22</v>
      </c>
      <c r="E174" s="22" t="s">
        <v>20</v>
      </c>
      <c r="F174" s="22">
        <v>96</v>
      </c>
      <c r="G174" s="22">
        <v>105</v>
      </c>
      <c r="H174" s="22">
        <v>0.184</v>
      </c>
      <c r="I174" s="22">
        <v>1.35</v>
      </c>
    </row>
    <row r="175" spans="1:9" x14ac:dyDescent="0.3">
      <c r="A175" s="22">
        <v>174</v>
      </c>
      <c r="B175" s="22" t="s">
        <v>221</v>
      </c>
      <c r="C175" s="22" t="s">
        <v>33</v>
      </c>
      <c r="D175" s="22" t="s">
        <v>22</v>
      </c>
      <c r="E175" s="22" t="s">
        <v>20</v>
      </c>
      <c r="F175" s="22">
        <v>105</v>
      </c>
      <c r="G175" s="22">
        <v>114</v>
      </c>
      <c r="H175" s="22">
        <v>0.184</v>
      </c>
      <c r="I175" s="22">
        <v>1.35</v>
      </c>
    </row>
    <row r="176" spans="1:9" x14ac:dyDescent="0.3">
      <c r="A176" s="22">
        <v>175</v>
      </c>
      <c r="B176" s="22" t="s">
        <v>222</v>
      </c>
      <c r="C176" s="22" t="s">
        <v>33</v>
      </c>
      <c r="D176" s="22" t="s">
        <v>22</v>
      </c>
      <c r="E176" s="22" t="s">
        <v>20</v>
      </c>
      <c r="F176" s="22">
        <v>114</v>
      </c>
      <c r="G176" s="22">
        <v>123</v>
      </c>
      <c r="H176" s="22">
        <v>0.184</v>
      </c>
      <c r="I176" s="22">
        <v>1.35</v>
      </c>
    </row>
    <row r="177" spans="1:9" x14ac:dyDescent="0.3">
      <c r="A177" s="22">
        <v>176</v>
      </c>
      <c r="B177" s="22" t="s">
        <v>223</v>
      </c>
      <c r="C177" s="22" t="s">
        <v>33</v>
      </c>
      <c r="D177" s="22" t="s">
        <v>22</v>
      </c>
      <c r="E177" s="22" t="s">
        <v>20</v>
      </c>
      <c r="F177" s="22">
        <v>123</v>
      </c>
      <c r="G177" s="22">
        <v>132</v>
      </c>
      <c r="H177" s="22">
        <v>0.184</v>
      </c>
      <c r="I177" s="22">
        <v>1.35</v>
      </c>
    </row>
    <row r="178" spans="1:9" x14ac:dyDescent="0.3">
      <c r="A178" s="22">
        <v>177</v>
      </c>
      <c r="B178" s="22" t="s">
        <v>224</v>
      </c>
      <c r="C178" s="22" t="s">
        <v>33</v>
      </c>
      <c r="D178" s="22" t="s">
        <v>22</v>
      </c>
      <c r="E178" s="22" t="s">
        <v>20</v>
      </c>
      <c r="F178" s="22">
        <v>132</v>
      </c>
      <c r="G178" s="22">
        <v>141</v>
      </c>
      <c r="H178" s="22">
        <v>0.184</v>
      </c>
      <c r="I178" s="22">
        <v>1.35</v>
      </c>
    </row>
    <row r="179" spans="1:9" x14ac:dyDescent="0.3">
      <c r="A179" s="22">
        <v>178</v>
      </c>
      <c r="B179" s="22" t="s">
        <v>225</v>
      </c>
      <c r="C179" s="22" t="s">
        <v>33</v>
      </c>
      <c r="D179" s="22" t="s">
        <v>22</v>
      </c>
      <c r="E179" s="22" t="s">
        <v>20</v>
      </c>
      <c r="F179" s="22">
        <v>141</v>
      </c>
      <c r="G179" s="22">
        <v>150</v>
      </c>
      <c r="H179" s="22">
        <v>0.184</v>
      </c>
      <c r="I179" s="22">
        <v>1.35</v>
      </c>
    </row>
    <row r="180" spans="1:9" x14ac:dyDescent="0.3">
      <c r="A180" s="22">
        <v>179</v>
      </c>
      <c r="B180" s="22" t="s">
        <v>226</v>
      </c>
      <c r="C180" s="22" t="s">
        <v>33</v>
      </c>
      <c r="D180" s="22" t="s">
        <v>22</v>
      </c>
      <c r="E180" s="22" t="s">
        <v>20</v>
      </c>
      <c r="F180" s="22">
        <v>150</v>
      </c>
      <c r="G180" s="22">
        <v>159</v>
      </c>
      <c r="H180" s="22">
        <v>0.184</v>
      </c>
      <c r="I180" s="22">
        <v>1.35</v>
      </c>
    </row>
    <row r="181" spans="1:9" x14ac:dyDescent="0.3">
      <c r="A181" s="22">
        <v>180</v>
      </c>
      <c r="B181" s="22" t="s">
        <v>227</v>
      </c>
      <c r="C181" s="22" t="s">
        <v>33</v>
      </c>
      <c r="D181" s="22" t="s">
        <v>22</v>
      </c>
      <c r="E181" s="22" t="s">
        <v>20</v>
      </c>
      <c r="F181" s="22">
        <v>159</v>
      </c>
      <c r="G181" s="22">
        <v>168</v>
      </c>
      <c r="H181" s="22">
        <v>0.184</v>
      </c>
      <c r="I181" s="22">
        <v>1.35</v>
      </c>
    </row>
    <row r="182" spans="1:9" x14ac:dyDescent="0.3">
      <c r="A182" s="22">
        <v>181</v>
      </c>
      <c r="B182" s="22" t="s">
        <v>228</v>
      </c>
      <c r="C182" s="22" t="s">
        <v>34</v>
      </c>
      <c r="D182" s="22" t="s">
        <v>22</v>
      </c>
      <c r="E182" s="22" t="s">
        <v>20</v>
      </c>
      <c r="F182" s="22">
        <v>7</v>
      </c>
      <c r="G182" s="22">
        <v>16</v>
      </c>
      <c r="H182" s="22">
        <v>0.184</v>
      </c>
      <c r="I182" s="22">
        <v>1.35</v>
      </c>
    </row>
    <row r="183" spans="1:9" x14ac:dyDescent="0.3">
      <c r="A183" s="22">
        <v>182</v>
      </c>
      <c r="B183" s="22" t="s">
        <v>229</v>
      </c>
      <c r="C183" s="22" t="s">
        <v>34</v>
      </c>
      <c r="D183" s="22" t="s">
        <v>22</v>
      </c>
      <c r="E183" s="22" t="s">
        <v>20</v>
      </c>
      <c r="F183" s="22">
        <v>16</v>
      </c>
      <c r="G183" s="22">
        <v>25</v>
      </c>
      <c r="H183" s="22">
        <v>0.184</v>
      </c>
      <c r="I183" s="22">
        <v>1.35</v>
      </c>
    </row>
    <row r="184" spans="1:9" x14ac:dyDescent="0.3">
      <c r="A184" s="22">
        <v>183</v>
      </c>
      <c r="B184" s="22" t="s">
        <v>230</v>
      </c>
      <c r="C184" s="22" t="s">
        <v>34</v>
      </c>
      <c r="D184" s="22" t="s">
        <v>22</v>
      </c>
      <c r="E184" s="22" t="s">
        <v>20</v>
      </c>
      <c r="F184" s="22">
        <v>25</v>
      </c>
      <c r="G184" s="22">
        <v>34</v>
      </c>
      <c r="H184" s="22">
        <v>0.184</v>
      </c>
      <c r="I184" s="22">
        <v>1.35</v>
      </c>
    </row>
    <row r="185" spans="1:9" x14ac:dyDescent="0.3">
      <c r="A185" s="22">
        <v>184</v>
      </c>
      <c r="B185" s="22" t="s">
        <v>231</v>
      </c>
      <c r="C185" s="22" t="s">
        <v>34</v>
      </c>
      <c r="D185" s="22" t="s">
        <v>22</v>
      </c>
      <c r="E185" s="22" t="s">
        <v>20</v>
      </c>
      <c r="F185" s="22">
        <v>34</v>
      </c>
      <c r="G185" s="22">
        <v>43</v>
      </c>
      <c r="H185" s="22">
        <v>0.184</v>
      </c>
      <c r="I185" s="22">
        <v>1.35</v>
      </c>
    </row>
    <row r="186" spans="1:9" x14ac:dyDescent="0.3">
      <c r="A186" s="22">
        <v>185</v>
      </c>
      <c r="B186" s="22" t="s">
        <v>232</v>
      </c>
      <c r="C186" s="22" t="s">
        <v>34</v>
      </c>
      <c r="D186" s="22" t="s">
        <v>22</v>
      </c>
      <c r="E186" s="22" t="s">
        <v>20</v>
      </c>
      <c r="F186" s="22">
        <v>43</v>
      </c>
      <c r="G186" s="22">
        <v>52</v>
      </c>
      <c r="H186" s="22">
        <v>0.184</v>
      </c>
      <c r="I186" s="22">
        <v>1.35</v>
      </c>
    </row>
    <row r="187" spans="1:9" x14ac:dyDescent="0.3">
      <c r="A187" s="22">
        <v>186</v>
      </c>
      <c r="B187" s="22" t="s">
        <v>233</v>
      </c>
      <c r="C187" s="22" t="s">
        <v>34</v>
      </c>
      <c r="D187" s="22" t="s">
        <v>22</v>
      </c>
      <c r="E187" s="22" t="s">
        <v>20</v>
      </c>
      <c r="F187" s="22">
        <v>52</v>
      </c>
      <c r="G187" s="22">
        <v>61</v>
      </c>
      <c r="H187" s="22">
        <v>0.184</v>
      </c>
      <c r="I187" s="22">
        <v>1.35</v>
      </c>
    </row>
    <row r="188" spans="1:9" x14ac:dyDescent="0.3">
      <c r="A188" s="22">
        <v>187</v>
      </c>
      <c r="B188" s="22" t="s">
        <v>234</v>
      </c>
      <c r="C188" s="22" t="s">
        <v>34</v>
      </c>
      <c r="D188" s="22" t="s">
        <v>22</v>
      </c>
      <c r="E188" s="22" t="s">
        <v>20</v>
      </c>
      <c r="F188" s="22">
        <v>61</v>
      </c>
      <c r="G188" s="22">
        <v>70</v>
      </c>
      <c r="H188" s="22">
        <v>0.184</v>
      </c>
      <c r="I188" s="22">
        <v>1.35</v>
      </c>
    </row>
    <row r="189" spans="1:9" x14ac:dyDescent="0.3">
      <c r="A189" s="22">
        <v>188</v>
      </c>
      <c r="B189" s="22" t="s">
        <v>235</v>
      </c>
      <c r="C189" s="22" t="s">
        <v>34</v>
      </c>
      <c r="D189" s="22" t="s">
        <v>22</v>
      </c>
      <c r="E189" s="22" t="s">
        <v>20</v>
      </c>
      <c r="F189" s="22">
        <v>70</v>
      </c>
      <c r="G189" s="22">
        <v>79</v>
      </c>
      <c r="H189" s="22">
        <v>0.184</v>
      </c>
      <c r="I189" s="22">
        <v>1.35</v>
      </c>
    </row>
    <row r="190" spans="1:9" x14ac:dyDescent="0.3">
      <c r="A190" s="22">
        <v>189</v>
      </c>
      <c r="B190" s="22" t="s">
        <v>236</v>
      </c>
      <c r="C190" s="22" t="s">
        <v>34</v>
      </c>
      <c r="D190" s="22" t="s">
        <v>22</v>
      </c>
      <c r="E190" s="22" t="s">
        <v>20</v>
      </c>
      <c r="F190" s="22">
        <v>79</v>
      </c>
      <c r="G190" s="22">
        <v>88</v>
      </c>
      <c r="H190" s="22">
        <v>0.184</v>
      </c>
      <c r="I190" s="22">
        <v>1.35</v>
      </c>
    </row>
    <row r="191" spans="1:9" x14ac:dyDescent="0.3">
      <c r="A191" s="22">
        <v>190</v>
      </c>
      <c r="B191" s="22" t="s">
        <v>237</v>
      </c>
      <c r="C191" s="22" t="s">
        <v>34</v>
      </c>
      <c r="D191" s="22" t="s">
        <v>22</v>
      </c>
      <c r="E191" s="22" t="s">
        <v>20</v>
      </c>
      <c r="F191" s="22">
        <v>88</v>
      </c>
      <c r="G191" s="22">
        <v>97</v>
      </c>
      <c r="H191" s="22">
        <v>0.184</v>
      </c>
      <c r="I191" s="22">
        <v>1.35</v>
      </c>
    </row>
    <row r="192" spans="1:9" x14ac:dyDescent="0.3">
      <c r="A192" s="22">
        <v>191</v>
      </c>
      <c r="B192" s="22" t="s">
        <v>238</v>
      </c>
      <c r="C192" s="22" t="s">
        <v>34</v>
      </c>
      <c r="D192" s="22" t="s">
        <v>22</v>
      </c>
      <c r="E192" s="22" t="s">
        <v>20</v>
      </c>
      <c r="F192" s="22">
        <v>97</v>
      </c>
      <c r="G192" s="22">
        <v>106</v>
      </c>
      <c r="H192" s="22">
        <v>0.184</v>
      </c>
      <c r="I192" s="22">
        <v>1.35</v>
      </c>
    </row>
    <row r="193" spans="1:9" x14ac:dyDescent="0.3">
      <c r="A193" s="22">
        <v>192</v>
      </c>
      <c r="B193" s="22" t="s">
        <v>239</v>
      </c>
      <c r="C193" s="22" t="s">
        <v>34</v>
      </c>
      <c r="D193" s="22" t="s">
        <v>22</v>
      </c>
      <c r="E193" s="22" t="s">
        <v>20</v>
      </c>
      <c r="F193" s="22">
        <v>106</v>
      </c>
      <c r="G193" s="22">
        <v>115</v>
      </c>
      <c r="H193" s="22">
        <v>0.184</v>
      </c>
      <c r="I193" s="22">
        <v>1.35</v>
      </c>
    </row>
    <row r="194" spans="1:9" x14ac:dyDescent="0.3">
      <c r="A194" s="22">
        <v>193</v>
      </c>
      <c r="B194" s="22" t="s">
        <v>240</v>
      </c>
      <c r="C194" s="22" t="s">
        <v>34</v>
      </c>
      <c r="D194" s="22" t="s">
        <v>22</v>
      </c>
      <c r="E194" s="22" t="s">
        <v>20</v>
      </c>
      <c r="F194" s="22">
        <v>115</v>
      </c>
      <c r="G194" s="22">
        <v>124</v>
      </c>
      <c r="H194" s="22">
        <v>0.184</v>
      </c>
      <c r="I194" s="22">
        <v>1.35</v>
      </c>
    </row>
    <row r="195" spans="1:9" x14ac:dyDescent="0.3">
      <c r="A195" s="22">
        <v>194</v>
      </c>
      <c r="B195" s="22" t="s">
        <v>241</v>
      </c>
      <c r="C195" s="22" t="s">
        <v>34</v>
      </c>
      <c r="D195" s="22" t="s">
        <v>22</v>
      </c>
      <c r="E195" s="22" t="s">
        <v>20</v>
      </c>
      <c r="F195" s="22">
        <v>124</v>
      </c>
      <c r="G195" s="22">
        <v>133</v>
      </c>
      <c r="H195" s="22">
        <v>0.184</v>
      </c>
      <c r="I195" s="22">
        <v>1.35</v>
      </c>
    </row>
    <row r="196" spans="1:9" x14ac:dyDescent="0.3">
      <c r="A196" s="22">
        <v>195</v>
      </c>
      <c r="B196" s="22" t="s">
        <v>242</v>
      </c>
      <c r="C196" s="22" t="s">
        <v>34</v>
      </c>
      <c r="D196" s="22" t="s">
        <v>22</v>
      </c>
      <c r="E196" s="22" t="s">
        <v>20</v>
      </c>
      <c r="F196" s="22">
        <v>133</v>
      </c>
      <c r="G196" s="22">
        <v>142</v>
      </c>
      <c r="H196" s="22">
        <v>0.184</v>
      </c>
      <c r="I196" s="22">
        <v>1.35</v>
      </c>
    </row>
    <row r="197" spans="1:9" x14ac:dyDescent="0.3">
      <c r="A197" s="22">
        <v>196</v>
      </c>
      <c r="B197" s="22" t="s">
        <v>243</v>
      </c>
      <c r="C197" s="22" t="s">
        <v>34</v>
      </c>
      <c r="D197" s="22" t="s">
        <v>22</v>
      </c>
      <c r="E197" s="22" t="s">
        <v>20</v>
      </c>
      <c r="F197" s="22">
        <v>142</v>
      </c>
      <c r="G197" s="22">
        <v>151</v>
      </c>
      <c r="H197" s="22">
        <v>0.184</v>
      </c>
      <c r="I197" s="22">
        <v>1.35</v>
      </c>
    </row>
    <row r="198" spans="1:9" x14ac:dyDescent="0.3">
      <c r="A198" s="22">
        <v>197</v>
      </c>
      <c r="B198" s="22" t="s">
        <v>244</v>
      </c>
      <c r="C198" s="22" t="s">
        <v>34</v>
      </c>
      <c r="D198" s="22" t="s">
        <v>22</v>
      </c>
      <c r="E198" s="22" t="s">
        <v>20</v>
      </c>
      <c r="F198" s="22">
        <v>151</v>
      </c>
      <c r="G198" s="22">
        <v>160</v>
      </c>
      <c r="H198" s="22">
        <v>0.184</v>
      </c>
      <c r="I198" s="22">
        <v>1.35</v>
      </c>
    </row>
    <row r="199" spans="1:9" x14ac:dyDescent="0.3">
      <c r="A199" s="22">
        <v>198</v>
      </c>
      <c r="B199" s="22" t="s">
        <v>245</v>
      </c>
      <c r="C199" s="22" t="s">
        <v>34</v>
      </c>
      <c r="D199" s="22" t="s">
        <v>22</v>
      </c>
      <c r="E199" s="22" t="s">
        <v>20</v>
      </c>
      <c r="F199" s="22">
        <v>160</v>
      </c>
      <c r="G199" s="22">
        <v>169</v>
      </c>
      <c r="H199" s="22">
        <v>0.184</v>
      </c>
      <c r="I199" s="22">
        <v>1.35</v>
      </c>
    </row>
    <row r="200" spans="1:9" x14ac:dyDescent="0.3">
      <c r="A200" s="22">
        <v>199</v>
      </c>
      <c r="B200" s="22" t="s">
        <v>246</v>
      </c>
      <c r="C200" s="22"/>
      <c r="D200" s="22" t="s">
        <v>21</v>
      </c>
      <c r="E200" s="22" t="s">
        <v>20</v>
      </c>
      <c r="F200" s="22">
        <v>172</v>
      </c>
      <c r="G200" s="22">
        <v>181</v>
      </c>
      <c r="H200" s="22">
        <v>0.112</v>
      </c>
      <c r="I200" s="22">
        <v>0.75</v>
      </c>
    </row>
    <row r="201" spans="1:9" x14ac:dyDescent="0.3">
      <c r="A201" s="22">
        <v>200</v>
      </c>
      <c r="B201" s="22" t="s">
        <v>247</v>
      </c>
      <c r="C201" s="22"/>
      <c r="D201" s="22" t="s">
        <v>21</v>
      </c>
      <c r="E201" s="22" t="s">
        <v>20</v>
      </c>
      <c r="F201" s="22">
        <v>181</v>
      </c>
      <c r="G201" s="22">
        <v>190</v>
      </c>
      <c r="H201" s="22">
        <v>0.112</v>
      </c>
      <c r="I201" s="22">
        <v>0.75</v>
      </c>
    </row>
    <row r="202" spans="1:9" x14ac:dyDescent="0.3">
      <c r="A202" s="22">
        <v>201</v>
      </c>
      <c r="B202" s="22" t="s">
        <v>248</v>
      </c>
      <c r="C202" s="22"/>
      <c r="D202" s="22" t="s">
        <v>21</v>
      </c>
      <c r="E202" s="22" t="s">
        <v>20</v>
      </c>
      <c r="F202" s="22">
        <v>190</v>
      </c>
      <c r="G202" s="22">
        <v>199</v>
      </c>
      <c r="H202" s="22">
        <v>0.112</v>
      </c>
      <c r="I202" s="22">
        <v>0.75</v>
      </c>
    </row>
    <row r="203" spans="1:9" x14ac:dyDescent="0.3">
      <c r="A203" s="22">
        <v>202</v>
      </c>
      <c r="B203" s="22" t="s">
        <v>249</v>
      </c>
      <c r="C203" s="22"/>
      <c r="D203" s="22" t="s">
        <v>21</v>
      </c>
      <c r="E203" s="22" t="s">
        <v>20</v>
      </c>
      <c r="F203" s="22">
        <v>199</v>
      </c>
      <c r="G203" s="22">
        <v>208</v>
      </c>
      <c r="H203" s="22">
        <v>0.112</v>
      </c>
      <c r="I203" s="22">
        <v>0.75</v>
      </c>
    </row>
    <row r="204" spans="1:9" x14ac:dyDescent="0.3">
      <c r="A204" s="22">
        <v>203</v>
      </c>
      <c r="B204" s="22" t="s">
        <v>250</v>
      </c>
      <c r="C204" s="22"/>
      <c r="D204" s="22" t="s">
        <v>21</v>
      </c>
      <c r="E204" s="22" t="s">
        <v>20</v>
      </c>
      <c r="F204" s="22">
        <v>208</v>
      </c>
      <c r="G204" s="22">
        <v>46</v>
      </c>
      <c r="H204" s="22">
        <v>0.112</v>
      </c>
      <c r="I204" s="22">
        <v>0.75</v>
      </c>
    </row>
    <row r="205" spans="1:9" x14ac:dyDescent="0.3">
      <c r="A205" s="22">
        <v>204</v>
      </c>
      <c r="B205" s="22" t="s">
        <v>251</v>
      </c>
      <c r="C205" s="22"/>
      <c r="D205" s="22" t="s">
        <v>21</v>
      </c>
      <c r="E205" s="22" t="s">
        <v>20</v>
      </c>
      <c r="F205" s="22">
        <v>173</v>
      </c>
      <c r="G205" s="22">
        <v>182</v>
      </c>
      <c r="H205" s="22">
        <v>0.112</v>
      </c>
      <c r="I205" s="22">
        <v>0.75</v>
      </c>
    </row>
    <row r="206" spans="1:9" x14ac:dyDescent="0.3">
      <c r="A206" s="22">
        <v>205</v>
      </c>
      <c r="B206" s="22" t="s">
        <v>252</v>
      </c>
      <c r="C206" s="22"/>
      <c r="D206" s="22" t="s">
        <v>21</v>
      </c>
      <c r="E206" s="22" t="s">
        <v>20</v>
      </c>
      <c r="F206" s="22">
        <v>182</v>
      </c>
      <c r="G206" s="22">
        <v>191</v>
      </c>
      <c r="H206" s="22">
        <v>0.112</v>
      </c>
      <c r="I206" s="22">
        <v>0.75</v>
      </c>
    </row>
    <row r="207" spans="1:9" x14ac:dyDescent="0.3">
      <c r="A207" s="22">
        <v>206</v>
      </c>
      <c r="B207" s="22" t="s">
        <v>253</v>
      </c>
      <c r="C207" s="22"/>
      <c r="D207" s="22" t="s">
        <v>21</v>
      </c>
      <c r="E207" s="22" t="s">
        <v>20</v>
      </c>
      <c r="F207" s="22">
        <v>191</v>
      </c>
      <c r="G207" s="22">
        <v>200</v>
      </c>
      <c r="H207" s="22">
        <v>0.112</v>
      </c>
      <c r="I207" s="22">
        <v>0.75</v>
      </c>
    </row>
    <row r="208" spans="1:9" x14ac:dyDescent="0.3">
      <c r="A208" s="22">
        <v>207</v>
      </c>
      <c r="B208" s="22" t="s">
        <v>254</v>
      </c>
      <c r="C208" s="22"/>
      <c r="D208" s="22" t="s">
        <v>21</v>
      </c>
      <c r="E208" s="22" t="s">
        <v>20</v>
      </c>
      <c r="F208" s="22">
        <v>200</v>
      </c>
      <c r="G208" s="22">
        <v>209</v>
      </c>
      <c r="H208" s="22">
        <v>0.112</v>
      </c>
      <c r="I208" s="22">
        <v>0.75</v>
      </c>
    </row>
    <row r="209" spans="1:9" x14ac:dyDescent="0.3">
      <c r="A209" s="22">
        <v>208</v>
      </c>
      <c r="B209" s="22" t="s">
        <v>255</v>
      </c>
      <c r="C209" s="22"/>
      <c r="D209" s="22" t="s">
        <v>21</v>
      </c>
      <c r="E209" s="22" t="s">
        <v>20</v>
      </c>
      <c r="F209" s="22">
        <v>209</v>
      </c>
      <c r="G209" s="22">
        <v>46</v>
      </c>
      <c r="H209" s="22">
        <v>0.112</v>
      </c>
      <c r="I209" s="22">
        <v>0.75</v>
      </c>
    </row>
    <row r="210" spans="1:9" x14ac:dyDescent="0.3">
      <c r="A210" s="22">
        <v>209</v>
      </c>
      <c r="B210" s="22" t="s">
        <v>256</v>
      </c>
      <c r="C210" s="22"/>
      <c r="D210" s="22" t="s">
        <v>21</v>
      </c>
      <c r="E210" s="22" t="s">
        <v>20</v>
      </c>
      <c r="F210" s="22">
        <v>175</v>
      </c>
      <c r="G210" s="22">
        <v>184</v>
      </c>
      <c r="H210" s="22">
        <v>0.112</v>
      </c>
      <c r="I210" s="22">
        <v>0.75</v>
      </c>
    </row>
    <row r="211" spans="1:9" x14ac:dyDescent="0.3">
      <c r="A211" s="22">
        <v>210</v>
      </c>
      <c r="B211" s="22" t="s">
        <v>257</v>
      </c>
      <c r="C211" s="22"/>
      <c r="D211" s="22" t="s">
        <v>21</v>
      </c>
      <c r="E211" s="22" t="s">
        <v>20</v>
      </c>
      <c r="F211" s="22">
        <v>184</v>
      </c>
      <c r="G211" s="22">
        <v>193</v>
      </c>
      <c r="H211" s="22">
        <v>0.112</v>
      </c>
      <c r="I211" s="22">
        <v>0.75</v>
      </c>
    </row>
    <row r="212" spans="1:9" x14ac:dyDescent="0.3">
      <c r="A212" s="22">
        <v>211</v>
      </c>
      <c r="B212" s="22" t="s">
        <v>258</v>
      </c>
      <c r="C212" s="22"/>
      <c r="D212" s="22" t="s">
        <v>21</v>
      </c>
      <c r="E212" s="22" t="s">
        <v>20</v>
      </c>
      <c r="F212" s="22">
        <v>193</v>
      </c>
      <c r="G212" s="22">
        <v>202</v>
      </c>
      <c r="H212" s="22">
        <v>0.112</v>
      </c>
      <c r="I212" s="22">
        <v>0.75</v>
      </c>
    </row>
    <row r="213" spans="1:9" x14ac:dyDescent="0.3">
      <c r="A213" s="22">
        <v>212</v>
      </c>
      <c r="B213" s="22" t="s">
        <v>259</v>
      </c>
      <c r="C213" s="22"/>
      <c r="D213" s="22" t="s">
        <v>21</v>
      </c>
      <c r="E213" s="22" t="s">
        <v>20</v>
      </c>
      <c r="F213" s="22">
        <v>202</v>
      </c>
      <c r="G213" s="22">
        <v>211</v>
      </c>
      <c r="H213" s="22">
        <v>0.112</v>
      </c>
      <c r="I213" s="22">
        <v>0.75</v>
      </c>
    </row>
    <row r="214" spans="1:9" x14ac:dyDescent="0.3">
      <c r="A214" s="22">
        <v>213</v>
      </c>
      <c r="B214" s="22" t="s">
        <v>260</v>
      </c>
      <c r="C214" s="22"/>
      <c r="D214" s="22" t="s">
        <v>21</v>
      </c>
      <c r="E214" s="22" t="s">
        <v>20</v>
      </c>
      <c r="F214" s="22">
        <v>211</v>
      </c>
      <c r="G214" s="22">
        <v>64</v>
      </c>
      <c r="H214" s="22">
        <v>0.112</v>
      </c>
      <c r="I214" s="22">
        <v>0.75</v>
      </c>
    </row>
    <row r="215" spans="1:9" x14ac:dyDescent="0.3">
      <c r="A215" s="22">
        <v>214</v>
      </c>
      <c r="B215" s="22" t="s">
        <v>261</v>
      </c>
      <c r="C215" s="22"/>
      <c r="D215" s="22" t="s">
        <v>21</v>
      </c>
      <c r="E215" s="22" t="s">
        <v>20</v>
      </c>
      <c r="F215" s="22">
        <v>176</v>
      </c>
      <c r="G215" s="22">
        <v>185</v>
      </c>
      <c r="H215" s="22">
        <v>0.112</v>
      </c>
      <c r="I215" s="22">
        <v>0.75</v>
      </c>
    </row>
    <row r="216" spans="1:9" x14ac:dyDescent="0.3">
      <c r="A216" s="22">
        <v>215</v>
      </c>
      <c r="B216" s="22" t="s">
        <v>262</v>
      </c>
      <c r="C216" s="22"/>
      <c r="D216" s="22" t="s">
        <v>21</v>
      </c>
      <c r="E216" s="22" t="s">
        <v>20</v>
      </c>
      <c r="F216" s="22">
        <v>185</v>
      </c>
      <c r="G216" s="22">
        <v>194</v>
      </c>
      <c r="H216" s="22">
        <v>0.112</v>
      </c>
      <c r="I216" s="22">
        <v>0.75</v>
      </c>
    </row>
    <row r="217" spans="1:9" x14ac:dyDescent="0.3">
      <c r="A217" s="22">
        <v>216</v>
      </c>
      <c r="B217" s="22" t="s">
        <v>263</v>
      </c>
      <c r="C217" s="22"/>
      <c r="D217" s="22" t="s">
        <v>21</v>
      </c>
      <c r="E217" s="22" t="s">
        <v>20</v>
      </c>
      <c r="F217" s="22">
        <v>194</v>
      </c>
      <c r="G217" s="22">
        <v>203</v>
      </c>
      <c r="H217" s="22">
        <v>0.112</v>
      </c>
      <c r="I217" s="22">
        <v>0.75</v>
      </c>
    </row>
    <row r="218" spans="1:9" x14ac:dyDescent="0.3">
      <c r="A218" s="22">
        <v>217</v>
      </c>
      <c r="B218" s="22" t="s">
        <v>264</v>
      </c>
      <c r="C218" s="22"/>
      <c r="D218" s="22" t="s">
        <v>21</v>
      </c>
      <c r="E218" s="22" t="s">
        <v>20</v>
      </c>
      <c r="F218" s="22">
        <v>203</v>
      </c>
      <c r="G218" s="22">
        <v>212</v>
      </c>
      <c r="H218" s="22">
        <v>0.112</v>
      </c>
      <c r="I218" s="22">
        <v>0.75</v>
      </c>
    </row>
    <row r="219" spans="1:9" x14ac:dyDescent="0.3">
      <c r="A219" s="22">
        <v>218</v>
      </c>
      <c r="B219" s="22" t="s">
        <v>265</v>
      </c>
      <c r="C219" s="22"/>
      <c r="D219" s="22" t="s">
        <v>21</v>
      </c>
      <c r="E219" s="22" t="s">
        <v>20</v>
      </c>
      <c r="F219" s="22">
        <v>212</v>
      </c>
      <c r="G219" s="22">
        <v>82</v>
      </c>
      <c r="H219" s="22">
        <v>0.112</v>
      </c>
      <c r="I219" s="22">
        <v>0.75</v>
      </c>
    </row>
    <row r="220" spans="1:9" x14ac:dyDescent="0.3">
      <c r="A220" s="22">
        <v>219</v>
      </c>
      <c r="B220" s="22" t="s">
        <v>266</v>
      </c>
      <c r="C220" s="22"/>
      <c r="D220" s="22" t="s">
        <v>21</v>
      </c>
      <c r="E220" s="22" t="s">
        <v>20</v>
      </c>
      <c r="F220" s="22">
        <v>177</v>
      </c>
      <c r="G220" s="22">
        <v>186</v>
      </c>
      <c r="H220" s="22">
        <v>0.112</v>
      </c>
      <c r="I220" s="22">
        <v>0.75</v>
      </c>
    </row>
    <row r="221" spans="1:9" x14ac:dyDescent="0.3">
      <c r="A221" s="22">
        <v>220</v>
      </c>
      <c r="B221" s="22" t="s">
        <v>267</v>
      </c>
      <c r="C221" s="22"/>
      <c r="D221" s="22" t="s">
        <v>21</v>
      </c>
      <c r="E221" s="22" t="s">
        <v>20</v>
      </c>
      <c r="F221" s="22">
        <v>186</v>
      </c>
      <c r="G221" s="22">
        <v>195</v>
      </c>
      <c r="H221" s="22">
        <v>0.112</v>
      </c>
      <c r="I221" s="22">
        <v>0.75</v>
      </c>
    </row>
    <row r="222" spans="1:9" x14ac:dyDescent="0.3">
      <c r="A222" s="22">
        <v>221</v>
      </c>
      <c r="B222" s="22" t="s">
        <v>268</v>
      </c>
      <c r="C222" s="22"/>
      <c r="D222" s="22" t="s">
        <v>21</v>
      </c>
      <c r="E222" s="22" t="s">
        <v>20</v>
      </c>
      <c r="F222" s="22">
        <v>195</v>
      </c>
      <c r="G222" s="22">
        <v>204</v>
      </c>
      <c r="H222" s="22">
        <v>0.112</v>
      </c>
      <c r="I222" s="22">
        <v>0.75</v>
      </c>
    </row>
    <row r="223" spans="1:9" x14ac:dyDescent="0.3">
      <c r="A223" s="22">
        <v>222</v>
      </c>
      <c r="B223" s="22" t="s">
        <v>269</v>
      </c>
      <c r="C223" s="22"/>
      <c r="D223" s="22" t="s">
        <v>21</v>
      </c>
      <c r="E223" s="22" t="s">
        <v>20</v>
      </c>
      <c r="F223" s="22">
        <v>204</v>
      </c>
      <c r="G223" s="22">
        <v>213</v>
      </c>
      <c r="H223" s="22">
        <v>0.112</v>
      </c>
      <c r="I223" s="22">
        <v>0.75</v>
      </c>
    </row>
    <row r="224" spans="1:9" x14ac:dyDescent="0.3">
      <c r="A224" s="22">
        <v>223</v>
      </c>
      <c r="B224" s="22" t="s">
        <v>270</v>
      </c>
      <c r="C224" s="22"/>
      <c r="D224" s="22" t="s">
        <v>21</v>
      </c>
      <c r="E224" s="22" t="s">
        <v>20</v>
      </c>
      <c r="F224" s="22">
        <v>213</v>
      </c>
      <c r="G224" s="22">
        <v>100</v>
      </c>
      <c r="H224" s="22">
        <v>0.112</v>
      </c>
      <c r="I224" s="22">
        <v>0.75</v>
      </c>
    </row>
    <row r="225" spans="1:9" x14ac:dyDescent="0.3">
      <c r="A225" s="22">
        <v>224</v>
      </c>
      <c r="B225" s="22" t="s">
        <v>246</v>
      </c>
      <c r="C225" s="22"/>
      <c r="D225" s="22" t="s">
        <v>21</v>
      </c>
      <c r="E225" s="22" t="s">
        <v>20</v>
      </c>
      <c r="F225" s="22">
        <v>179</v>
      </c>
      <c r="G225" s="22">
        <v>188</v>
      </c>
      <c r="H225" s="22">
        <v>0.112</v>
      </c>
      <c r="I225" s="22">
        <v>0.75</v>
      </c>
    </row>
    <row r="226" spans="1:9" x14ac:dyDescent="0.3">
      <c r="A226" s="22">
        <v>225</v>
      </c>
      <c r="B226" s="22" t="s">
        <v>247</v>
      </c>
      <c r="C226" s="22"/>
      <c r="D226" s="22" t="s">
        <v>21</v>
      </c>
      <c r="E226" s="22" t="s">
        <v>20</v>
      </c>
      <c r="F226" s="22">
        <v>188</v>
      </c>
      <c r="G226" s="22">
        <v>197</v>
      </c>
      <c r="H226" s="22">
        <v>0.112</v>
      </c>
      <c r="I226" s="22">
        <v>0.75</v>
      </c>
    </row>
    <row r="227" spans="1:9" x14ac:dyDescent="0.3">
      <c r="A227" s="22">
        <v>226</v>
      </c>
      <c r="B227" s="22" t="s">
        <v>248</v>
      </c>
      <c r="C227" s="22"/>
      <c r="D227" s="22" t="s">
        <v>21</v>
      </c>
      <c r="E227" s="22" t="s">
        <v>20</v>
      </c>
      <c r="F227" s="22">
        <v>197</v>
      </c>
      <c r="G227" s="22">
        <v>206</v>
      </c>
      <c r="H227" s="22">
        <v>0.112</v>
      </c>
      <c r="I227" s="22">
        <v>0.75</v>
      </c>
    </row>
    <row r="228" spans="1:9" x14ac:dyDescent="0.3">
      <c r="A228" s="22">
        <v>227</v>
      </c>
      <c r="B228" s="22" t="s">
        <v>249</v>
      </c>
      <c r="C228" s="22"/>
      <c r="D228" s="22" t="s">
        <v>21</v>
      </c>
      <c r="E228" s="22" t="s">
        <v>20</v>
      </c>
      <c r="F228" s="22">
        <v>206</v>
      </c>
      <c r="G228" s="22">
        <v>215</v>
      </c>
      <c r="H228" s="22">
        <v>0.112</v>
      </c>
      <c r="I228" s="22">
        <v>0.75</v>
      </c>
    </row>
    <row r="229" spans="1:9" x14ac:dyDescent="0.3">
      <c r="A229" s="22">
        <v>228</v>
      </c>
      <c r="B229" s="22" t="s">
        <v>250</v>
      </c>
      <c r="C229" s="22"/>
      <c r="D229" s="22" t="s">
        <v>21</v>
      </c>
      <c r="E229" s="22" t="s">
        <v>20</v>
      </c>
      <c r="F229" s="22">
        <v>215</v>
      </c>
      <c r="G229" s="22">
        <v>118</v>
      </c>
      <c r="H229" s="22">
        <v>0.112</v>
      </c>
      <c r="I229" s="22">
        <v>0.75</v>
      </c>
    </row>
    <row r="230" spans="1:9" x14ac:dyDescent="0.3">
      <c r="A230" s="22">
        <v>229</v>
      </c>
      <c r="B230" s="22" t="s">
        <v>251</v>
      </c>
      <c r="C230" s="22"/>
      <c r="D230" s="22" t="s">
        <v>21</v>
      </c>
      <c r="E230" s="22" t="s">
        <v>20</v>
      </c>
      <c r="F230" s="22">
        <v>180</v>
      </c>
      <c r="G230" s="22">
        <v>189</v>
      </c>
      <c r="H230" s="22">
        <v>0.112</v>
      </c>
      <c r="I230" s="22">
        <v>0.75</v>
      </c>
    </row>
    <row r="231" spans="1:9" x14ac:dyDescent="0.3">
      <c r="A231" s="22">
        <v>230</v>
      </c>
      <c r="B231" s="22" t="s">
        <v>252</v>
      </c>
      <c r="C231" s="22"/>
      <c r="D231" s="22" t="s">
        <v>21</v>
      </c>
      <c r="E231" s="22" t="s">
        <v>20</v>
      </c>
      <c r="F231" s="22">
        <v>189</v>
      </c>
      <c r="G231" s="22">
        <v>198</v>
      </c>
      <c r="H231" s="22">
        <v>0.112</v>
      </c>
      <c r="I231" s="22">
        <v>0.75</v>
      </c>
    </row>
    <row r="232" spans="1:9" x14ac:dyDescent="0.3">
      <c r="A232" s="22">
        <v>231</v>
      </c>
      <c r="B232" s="22" t="s">
        <v>253</v>
      </c>
      <c r="C232" s="22"/>
      <c r="D232" s="22" t="s">
        <v>21</v>
      </c>
      <c r="E232" s="22" t="s">
        <v>20</v>
      </c>
      <c r="F232" s="22">
        <v>198</v>
      </c>
      <c r="G232" s="22">
        <v>207</v>
      </c>
      <c r="H232" s="22">
        <v>0.112</v>
      </c>
      <c r="I232" s="22">
        <v>0.75</v>
      </c>
    </row>
    <row r="233" spans="1:9" x14ac:dyDescent="0.3">
      <c r="A233" s="22">
        <v>232</v>
      </c>
      <c r="B233" s="22" t="s">
        <v>254</v>
      </c>
      <c r="C233" s="22"/>
      <c r="D233" s="22" t="s">
        <v>21</v>
      </c>
      <c r="E233" s="22" t="s">
        <v>20</v>
      </c>
      <c r="F233" s="22">
        <v>207</v>
      </c>
      <c r="G233" s="22">
        <v>216</v>
      </c>
      <c r="H233" s="22">
        <v>0.112</v>
      </c>
      <c r="I233" s="22">
        <v>0.75</v>
      </c>
    </row>
    <row r="234" spans="1:9" x14ac:dyDescent="0.3">
      <c r="A234" s="22">
        <v>233</v>
      </c>
      <c r="B234" s="22" t="s">
        <v>255</v>
      </c>
      <c r="C234" s="22"/>
      <c r="D234" s="22" t="s">
        <v>21</v>
      </c>
      <c r="E234" s="22" t="s">
        <v>20</v>
      </c>
      <c r="F234" s="22">
        <v>216</v>
      </c>
      <c r="G234" s="22">
        <v>118</v>
      </c>
      <c r="H234" s="22">
        <v>0.112</v>
      </c>
      <c r="I234" s="22">
        <v>0.75</v>
      </c>
    </row>
    <row r="235" spans="1:9" x14ac:dyDescent="0.3">
      <c r="A235" s="22">
        <v>234</v>
      </c>
      <c r="B235" s="22" t="s">
        <v>271</v>
      </c>
      <c r="C235" s="22"/>
      <c r="D235" s="22" t="s">
        <v>21</v>
      </c>
      <c r="E235" s="22" t="s">
        <v>20</v>
      </c>
      <c r="F235" s="22">
        <v>217</v>
      </c>
      <c r="G235" s="22">
        <v>226</v>
      </c>
      <c r="H235" s="22">
        <v>0.112</v>
      </c>
      <c r="I235" s="22">
        <v>0.75</v>
      </c>
    </row>
    <row r="236" spans="1:9" x14ac:dyDescent="0.3">
      <c r="A236" s="22">
        <v>235</v>
      </c>
      <c r="B236" s="22" t="s">
        <v>272</v>
      </c>
      <c r="C236" s="22"/>
      <c r="D236" s="22" t="s">
        <v>21</v>
      </c>
      <c r="E236" s="22" t="s">
        <v>20</v>
      </c>
      <c r="F236" s="22">
        <v>226</v>
      </c>
      <c r="G236" s="22">
        <v>235</v>
      </c>
      <c r="H236" s="22">
        <v>0.112</v>
      </c>
      <c r="I236" s="22">
        <v>0.75</v>
      </c>
    </row>
    <row r="237" spans="1:9" x14ac:dyDescent="0.3">
      <c r="A237" s="22">
        <v>236</v>
      </c>
      <c r="B237" s="22" t="s">
        <v>273</v>
      </c>
      <c r="C237" s="22"/>
      <c r="D237" s="22" t="s">
        <v>21</v>
      </c>
      <c r="E237" s="22" t="s">
        <v>20</v>
      </c>
      <c r="F237" s="22">
        <v>235</v>
      </c>
      <c r="G237" s="22">
        <v>244</v>
      </c>
      <c r="H237" s="22">
        <v>0.112</v>
      </c>
      <c r="I237" s="22">
        <v>0.75</v>
      </c>
    </row>
    <row r="238" spans="1:9" x14ac:dyDescent="0.3">
      <c r="A238" s="22">
        <v>237</v>
      </c>
      <c r="B238" s="22" t="s">
        <v>274</v>
      </c>
      <c r="C238" s="22"/>
      <c r="D238" s="22" t="s">
        <v>21</v>
      </c>
      <c r="E238" s="22" t="s">
        <v>20</v>
      </c>
      <c r="F238" s="22">
        <v>244</v>
      </c>
      <c r="G238" s="22">
        <v>253</v>
      </c>
      <c r="H238" s="22">
        <v>0.112</v>
      </c>
      <c r="I238" s="22">
        <v>0.75</v>
      </c>
    </row>
    <row r="239" spans="1:9" x14ac:dyDescent="0.3">
      <c r="A239" s="22">
        <v>238</v>
      </c>
      <c r="B239" s="22" t="s">
        <v>275</v>
      </c>
      <c r="C239" s="22"/>
      <c r="D239" s="22" t="s">
        <v>21</v>
      </c>
      <c r="E239" s="22" t="s">
        <v>20</v>
      </c>
      <c r="F239" s="22">
        <v>253</v>
      </c>
      <c r="G239" s="22">
        <v>54</v>
      </c>
      <c r="H239" s="22">
        <v>0.112</v>
      </c>
      <c r="I239" s="22">
        <v>0.75</v>
      </c>
    </row>
    <row r="240" spans="1:9" x14ac:dyDescent="0.3">
      <c r="A240" s="22">
        <v>239</v>
      </c>
      <c r="B240" s="22" t="s">
        <v>276</v>
      </c>
      <c r="C240" s="22"/>
      <c r="D240" s="22" t="s">
        <v>21</v>
      </c>
      <c r="E240" s="22" t="s">
        <v>20</v>
      </c>
      <c r="F240" s="22">
        <v>218</v>
      </c>
      <c r="G240" s="22">
        <v>227</v>
      </c>
      <c r="H240" s="22">
        <v>0.112</v>
      </c>
      <c r="I240" s="22">
        <v>0.75</v>
      </c>
    </row>
    <row r="241" spans="1:9" x14ac:dyDescent="0.3">
      <c r="A241" s="22">
        <v>240</v>
      </c>
      <c r="B241" s="22" t="s">
        <v>277</v>
      </c>
      <c r="C241" s="22"/>
      <c r="D241" s="22" t="s">
        <v>21</v>
      </c>
      <c r="E241" s="22" t="s">
        <v>20</v>
      </c>
      <c r="F241" s="22">
        <v>227</v>
      </c>
      <c r="G241" s="22">
        <v>236</v>
      </c>
      <c r="H241" s="22">
        <v>0.112</v>
      </c>
      <c r="I241" s="22">
        <v>0.75</v>
      </c>
    </row>
    <row r="242" spans="1:9" x14ac:dyDescent="0.3">
      <c r="A242" s="22">
        <v>241</v>
      </c>
      <c r="B242" s="22" t="s">
        <v>278</v>
      </c>
      <c r="C242" s="22"/>
      <c r="D242" s="22" t="s">
        <v>21</v>
      </c>
      <c r="E242" s="22" t="s">
        <v>20</v>
      </c>
      <c r="F242" s="22">
        <v>236</v>
      </c>
      <c r="G242" s="22">
        <v>245</v>
      </c>
      <c r="H242" s="22">
        <v>0.112</v>
      </c>
      <c r="I242" s="22">
        <v>0.75</v>
      </c>
    </row>
    <row r="243" spans="1:9" x14ac:dyDescent="0.3">
      <c r="A243" s="22">
        <v>242</v>
      </c>
      <c r="B243" s="22" t="s">
        <v>279</v>
      </c>
      <c r="C243" s="22"/>
      <c r="D243" s="22" t="s">
        <v>21</v>
      </c>
      <c r="E243" s="22" t="s">
        <v>20</v>
      </c>
      <c r="F243" s="22">
        <v>245</v>
      </c>
      <c r="G243" s="22">
        <v>254</v>
      </c>
      <c r="H243" s="22">
        <v>0.112</v>
      </c>
      <c r="I243" s="22">
        <v>0.75</v>
      </c>
    </row>
    <row r="244" spans="1:9" x14ac:dyDescent="0.3">
      <c r="A244" s="22">
        <v>243</v>
      </c>
      <c r="B244" s="22" t="s">
        <v>280</v>
      </c>
      <c r="C244" s="22"/>
      <c r="D244" s="22" t="s">
        <v>21</v>
      </c>
      <c r="E244" s="22" t="s">
        <v>20</v>
      </c>
      <c r="F244" s="22">
        <v>254</v>
      </c>
      <c r="G244" s="22">
        <v>54</v>
      </c>
      <c r="H244" s="22">
        <v>0.112</v>
      </c>
      <c r="I244" s="22">
        <v>0.75</v>
      </c>
    </row>
    <row r="245" spans="1:9" x14ac:dyDescent="0.3">
      <c r="A245" s="22">
        <v>244</v>
      </c>
      <c r="B245" s="22" t="s">
        <v>256</v>
      </c>
      <c r="C245" s="22"/>
      <c r="D245" s="22" t="s">
        <v>21</v>
      </c>
      <c r="E245" s="22" t="s">
        <v>20</v>
      </c>
      <c r="F245" s="22">
        <v>220</v>
      </c>
      <c r="G245" s="22">
        <v>229</v>
      </c>
      <c r="H245" s="22">
        <v>0.112</v>
      </c>
      <c r="I245" s="22">
        <v>0.75</v>
      </c>
    </row>
    <row r="246" spans="1:9" x14ac:dyDescent="0.3">
      <c r="A246" s="22">
        <v>245</v>
      </c>
      <c r="B246" s="22" t="s">
        <v>257</v>
      </c>
      <c r="C246" s="22"/>
      <c r="D246" s="22" t="s">
        <v>21</v>
      </c>
      <c r="E246" s="22" t="s">
        <v>20</v>
      </c>
      <c r="F246" s="22">
        <v>229</v>
      </c>
      <c r="G246" s="22">
        <v>238</v>
      </c>
      <c r="H246" s="22">
        <v>0.112</v>
      </c>
      <c r="I246" s="22">
        <v>0.75</v>
      </c>
    </row>
    <row r="247" spans="1:9" x14ac:dyDescent="0.3">
      <c r="A247" s="22">
        <v>246</v>
      </c>
      <c r="B247" s="22" t="s">
        <v>258</v>
      </c>
      <c r="C247" s="22"/>
      <c r="D247" s="22" t="s">
        <v>21</v>
      </c>
      <c r="E247" s="22" t="s">
        <v>20</v>
      </c>
      <c r="F247" s="22">
        <v>238</v>
      </c>
      <c r="G247" s="22">
        <v>247</v>
      </c>
      <c r="H247" s="22">
        <v>0.112</v>
      </c>
      <c r="I247" s="22">
        <v>0.75</v>
      </c>
    </row>
    <row r="248" spans="1:9" x14ac:dyDescent="0.3">
      <c r="A248" s="22">
        <v>247</v>
      </c>
      <c r="B248" s="22" t="s">
        <v>259</v>
      </c>
      <c r="C248" s="22"/>
      <c r="D248" s="22" t="s">
        <v>21</v>
      </c>
      <c r="E248" s="22" t="s">
        <v>20</v>
      </c>
      <c r="F248" s="22">
        <v>247</v>
      </c>
      <c r="G248" s="22">
        <v>256</v>
      </c>
      <c r="H248" s="22">
        <v>0.112</v>
      </c>
      <c r="I248" s="22">
        <v>0.75</v>
      </c>
    </row>
    <row r="249" spans="1:9" x14ac:dyDescent="0.3">
      <c r="A249" s="22">
        <v>248</v>
      </c>
      <c r="B249" s="22" t="s">
        <v>260</v>
      </c>
      <c r="C249" s="22"/>
      <c r="D249" s="22" t="s">
        <v>21</v>
      </c>
      <c r="E249" s="22" t="s">
        <v>20</v>
      </c>
      <c r="F249" s="22">
        <v>256</v>
      </c>
      <c r="G249" s="22">
        <v>72</v>
      </c>
      <c r="H249" s="22">
        <v>0.112</v>
      </c>
      <c r="I249" s="22">
        <v>0.75</v>
      </c>
    </row>
    <row r="250" spans="1:9" x14ac:dyDescent="0.3">
      <c r="A250" s="22">
        <v>249</v>
      </c>
      <c r="B250" s="22" t="s">
        <v>261</v>
      </c>
      <c r="C250" s="22"/>
      <c r="D250" s="22" t="s">
        <v>21</v>
      </c>
      <c r="E250" s="22" t="s">
        <v>20</v>
      </c>
      <c r="F250" s="22">
        <v>221</v>
      </c>
      <c r="G250" s="22">
        <v>230</v>
      </c>
      <c r="H250" s="22">
        <v>0.112</v>
      </c>
      <c r="I250" s="22">
        <v>0.75</v>
      </c>
    </row>
    <row r="251" spans="1:9" x14ac:dyDescent="0.3">
      <c r="A251" s="22">
        <v>250</v>
      </c>
      <c r="B251" s="22" t="s">
        <v>262</v>
      </c>
      <c r="C251" s="22"/>
      <c r="D251" s="22" t="s">
        <v>21</v>
      </c>
      <c r="E251" s="22" t="s">
        <v>20</v>
      </c>
      <c r="F251" s="22">
        <v>230</v>
      </c>
      <c r="G251" s="22">
        <v>239</v>
      </c>
      <c r="H251" s="22">
        <v>0.112</v>
      </c>
      <c r="I251" s="22">
        <v>0.75</v>
      </c>
    </row>
    <row r="252" spans="1:9" x14ac:dyDescent="0.3">
      <c r="A252" s="22">
        <v>251</v>
      </c>
      <c r="B252" s="22" t="s">
        <v>263</v>
      </c>
      <c r="C252" s="22"/>
      <c r="D252" s="22" t="s">
        <v>21</v>
      </c>
      <c r="E252" s="22" t="s">
        <v>20</v>
      </c>
      <c r="F252" s="22">
        <v>239</v>
      </c>
      <c r="G252" s="22">
        <v>248</v>
      </c>
      <c r="H252" s="22">
        <v>0.112</v>
      </c>
      <c r="I252" s="22">
        <v>0.75</v>
      </c>
    </row>
    <row r="253" spans="1:9" x14ac:dyDescent="0.3">
      <c r="A253" s="22">
        <v>252</v>
      </c>
      <c r="B253" s="22" t="s">
        <v>264</v>
      </c>
      <c r="C253" s="22"/>
      <c r="D253" s="22" t="s">
        <v>21</v>
      </c>
      <c r="E253" s="22" t="s">
        <v>20</v>
      </c>
      <c r="F253" s="22">
        <v>248</v>
      </c>
      <c r="G253" s="22">
        <v>257</v>
      </c>
      <c r="H253" s="22">
        <v>0.112</v>
      </c>
      <c r="I253" s="22">
        <v>0.75</v>
      </c>
    </row>
    <row r="254" spans="1:9" x14ac:dyDescent="0.3">
      <c r="A254" s="22">
        <v>253</v>
      </c>
      <c r="B254" s="22" t="s">
        <v>265</v>
      </c>
      <c r="C254" s="22"/>
      <c r="D254" s="22" t="s">
        <v>21</v>
      </c>
      <c r="E254" s="22" t="s">
        <v>20</v>
      </c>
      <c r="F254" s="22">
        <v>257</v>
      </c>
      <c r="G254" s="22">
        <v>90</v>
      </c>
      <c r="H254" s="22">
        <v>0.112</v>
      </c>
      <c r="I254" s="22">
        <v>0.75</v>
      </c>
    </row>
    <row r="255" spans="1:9" x14ac:dyDescent="0.3">
      <c r="A255" s="22">
        <v>254</v>
      </c>
      <c r="B255" s="22" t="s">
        <v>266</v>
      </c>
      <c r="C255" s="22"/>
      <c r="D255" s="22" t="s">
        <v>21</v>
      </c>
      <c r="E255" s="22" t="s">
        <v>20</v>
      </c>
      <c r="F255" s="22">
        <v>222</v>
      </c>
      <c r="G255" s="22">
        <v>231</v>
      </c>
      <c r="H255" s="22">
        <v>0.112</v>
      </c>
      <c r="I255" s="22">
        <v>0.75</v>
      </c>
    </row>
    <row r="256" spans="1:9" x14ac:dyDescent="0.3">
      <c r="A256" s="22">
        <v>255</v>
      </c>
      <c r="B256" s="22" t="s">
        <v>267</v>
      </c>
      <c r="C256" s="22"/>
      <c r="D256" s="22" t="s">
        <v>21</v>
      </c>
      <c r="E256" s="22" t="s">
        <v>20</v>
      </c>
      <c r="F256" s="22">
        <v>231</v>
      </c>
      <c r="G256" s="22">
        <v>240</v>
      </c>
      <c r="H256" s="22">
        <v>0.112</v>
      </c>
      <c r="I256" s="22">
        <v>0.75</v>
      </c>
    </row>
    <row r="257" spans="1:9" x14ac:dyDescent="0.3">
      <c r="A257" s="22">
        <v>256</v>
      </c>
      <c r="B257" s="22" t="s">
        <v>268</v>
      </c>
      <c r="C257" s="22"/>
      <c r="D257" s="22" t="s">
        <v>21</v>
      </c>
      <c r="E257" s="22" t="s">
        <v>20</v>
      </c>
      <c r="F257" s="22">
        <v>240</v>
      </c>
      <c r="G257" s="22">
        <v>249</v>
      </c>
      <c r="H257" s="22">
        <v>0.112</v>
      </c>
      <c r="I257" s="22">
        <v>0.75</v>
      </c>
    </row>
    <row r="258" spans="1:9" x14ac:dyDescent="0.3">
      <c r="A258" s="22">
        <v>257</v>
      </c>
      <c r="B258" s="22" t="s">
        <v>269</v>
      </c>
      <c r="C258" s="22"/>
      <c r="D258" s="22" t="s">
        <v>21</v>
      </c>
      <c r="E258" s="22" t="s">
        <v>20</v>
      </c>
      <c r="F258" s="22">
        <v>249</v>
      </c>
      <c r="G258" s="22">
        <v>258</v>
      </c>
      <c r="H258" s="22">
        <v>0.112</v>
      </c>
      <c r="I258" s="22">
        <v>0.75</v>
      </c>
    </row>
    <row r="259" spans="1:9" x14ac:dyDescent="0.3">
      <c r="A259" s="22">
        <v>258</v>
      </c>
      <c r="B259" s="22" t="s">
        <v>270</v>
      </c>
      <c r="C259" s="22"/>
      <c r="D259" s="22" t="s">
        <v>21</v>
      </c>
      <c r="E259" s="22" t="s">
        <v>20</v>
      </c>
      <c r="F259" s="22">
        <v>258</v>
      </c>
      <c r="G259" s="22">
        <v>108</v>
      </c>
      <c r="H259" s="22">
        <v>0.112</v>
      </c>
      <c r="I259" s="22">
        <v>0.75</v>
      </c>
    </row>
    <row r="260" spans="1:9" x14ac:dyDescent="0.3">
      <c r="A260" s="22">
        <v>259</v>
      </c>
      <c r="B260" s="22" t="s">
        <v>246</v>
      </c>
      <c r="C260" s="22"/>
      <c r="D260" s="22" t="s">
        <v>21</v>
      </c>
      <c r="E260" s="22" t="s">
        <v>20</v>
      </c>
      <c r="F260" s="22">
        <v>224</v>
      </c>
      <c r="G260" s="22">
        <v>233</v>
      </c>
      <c r="H260" s="22">
        <v>0.112</v>
      </c>
      <c r="I260" s="22">
        <v>0.75</v>
      </c>
    </row>
    <row r="261" spans="1:9" x14ac:dyDescent="0.3">
      <c r="A261" s="22">
        <v>260</v>
      </c>
      <c r="B261" s="22" t="s">
        <v>247</v>
      </c>
      <c r="C261" s="22"/>
      <c r="D261" s="22" t="s">
        <v>21</v>
      </c>
      <c r="E261" s="22" t="s">
        <v>20</v>
      </c>
      <c r="F261" s="22">
        <v>233</v>
      </c>
      <c r="G261" s="22">
        <v>242</v>
      </c>
      <c r="H261" s="22">
        <v>0.112</v>
      </c>
      <c r="I261" s="22">
        <v>0.75</v>
      </c>
    </row>
    <row r="262" spans="1:9" x14ac:dyDescent="0.3">
      <c r="A262" s="22">
        <v>261</v>
      </c>
      <c r="B262" s="22" t="s">
        <v>248</v>
      </c>
      <c r="C262" s="22"/>
      <c r="D262" s="22" t="s">
        <v>21</v>
      </c>
      <c r="E262" s="22" t="s">
        <v>20</v>
      </c>
      <c r="F262" s="22">
        <v>242</v>
      </c>
      <c r="G262" s="22">
        <v>251</v>
      </c>
      <c r="H262" s="22">
        <v>0.112</v>
      </c>
      <c r="I262" s="22">
        <v>0.75</v>
      </c>
    </row>
    <row r="263" spans="1:9" x14ac:dyDescent="0.3">
      <c r="A263" s="22">
        <v>262</v>
      </c>
      <c r="B263" s="22" t="s">
        <v>249</v>
      </c>
      <c r="C263" s="22"/>
      <c r="D263" s="22" t="s">
        <v>21</v>
      </c>
      <c r="E263" s="22" t="s">
        <v>20</v>
      </c>
      <c r="F263" s="22">
        <v>251</v>
      </c>
      <c r="G263" s="22">
        <v>260</v>
      </c>
      <c r="H263" s="22">
        <v>0.112</v>
      </c>
      <c r="I263" s="22">
        <v>0.75</v>
      </c>
    </row>
    <row r="264" spans="1:9" x14ac:dyDescent="0.3">
      <c r="A264" s="22">
        <v>263</v>
      </c>
      <c r="B264" s="22" t="s">
        <v>250</v>
      </c>
      <c r="C264" s="22"/>
      <c r="D264" s="22" t="s">
        <v>21</v>
      </c>
      <c r="E264" s="22" t="s">
        <v>20</v>
      </c>
      <c r="F264" s="22">
        <v>260</v>
      </c>
      <c r="G264" s="22">
        <v>126</v>
      </c>
      <c r="H264" s="22">
        <v>0.112</v>
      </c>
      <c r="I264" s="22">
        <v>0.75</v>
      </c>
    </row>
    <row r="265" spans="1:9" x14ac:dyDescent="0.3">
      <c r="A265" s="22">
        <v>264</v>
      </c>
      <c r="B265" s="22" t="s">
        <v>251</v>
      </c>
      <c r="C265" s="22"/>
      <c r="D265" s="22" t="s">
        <v>21</v>
      </c>
      <c r="E265" s="22" t="s">
        <v>20</v>
      </c>
      <c r="F265" s="22">
        <v>225</v>
      </c>
      <c r="G265" s="22">
        <v>234</v>
      </c>
      <c r="H265" s="22">
        <v>0.112</v>
      </c>
      <c r="I265" s="22">
        <v>0.75</v>
      </c>
    </row>
    <row r="266" spans="1:9" x14ac:dyDescent="0.3">
      <c r="A266" s="22">
        <v>265</v>
      </c>
      <c r="B266" s="22" t="s">
        <v>252</v>
      </c>
      <c r="C266" s="22"/>
      <c r="D266" s="22" t="s">
        <v>21</v>
      </c>
      <c r="E266" s="22" t="s">
        <v>20</v>
      </c>
      <c r="F266" s="22">
        <v>234</v>
      </c>
      <c r="G266" s="22">
        <v>243</v>
      </c>
      <c r="H266" s="22">
        <v>0.112</v>
      </c>
      <c r="I266" s="22">
        <v>0.75</v>
      </c>
    </row>
    <row r="267" spans="1:9" x14ac:dyDescent="0.3">
      <c r="A267" s="22">
        <v>266</v>
      </c>
      <c r="B267" s="22" t="s">
        <v>253</v>
      </c>
      <c r="C267" s="22"/>
      <c r="D267" s="22" t="s">
        <v>21</v>
      </c>
      <c r="E267" s="22" t="s">
        <v>20</v>
      </c>
      <c r="F267" s="22">
        <v>243</v>
      </c>
      <c r="G267" s="22">
        <v>252</v>
      </c>
      <c r="H267" s="22">
        <v>0.112</v>
      </c>
      <c r="I267" s="22">
        <v>0.75</v>
      </c>
    </row>
    <row r="268" spans="1:9" x14ac:dyDescent="0.3">
      <c r="A268" s="22">
        <v>267</v>
      </c>
      <c r="B268" s="22" t="s">
        <v>254</v>
      </c>
      <c r="C268" s="22"/>
      <c r="D268" s="22" t="s">
        <v>21</v>
      </c>
      <c r="E268" s="22" t="s">
        <v>20</v>
      </c>
      <c r="F268" s="22">
        <v>252</v>
      </c>
      <c r="G268" s="22">
        <v>261</v>
      </c>
      <c r="H268" s="22">
        <v>0.112</v>
      </c>
      <c r="I268" s="22">
        <v>0.75</v>
      </c>
    </row>
    <row r="269" spans="1:9" x14ac:dyDescent="0.3">
      <c r="A269" s="22">
        <v>268</v>
      </c>
      <c r="B269" s="22" t="s">
        <v>255</v>
      </c>
      <c r="C269" s="22"/>
      <c r="D269" s="22" t="s">
        <v>21</v>
      </c>
      <c r="E269" s="22" t="s">
        <v>20</v>
      </c>
      <c r="F269" s="22">
        <v>261</v>
      </c>
      <c r="G269" s="22">
        <v>126</v>
      </c>
      <c r="H269" s="22">
        <v>0.112</v>
      </c>
      <c r="I269" s="22">
        <v>0.75</v>
      </c>
    </row>
    <row r="270" spans="1:9" x14ac:dyDescent="0.3">
      <c r="A270" s="22">
        <v>269</v>
      </c>
      <c r="B270" s="22" t="s">
        <v>281</v>
      </c>
      <c r="C270" s="22"/>
      <c r="D270" s="22" t="s">
        <v>23</v>
      </c>
      <c r="E270" s="22" t="s">
        <v>42</v>
      </c>
      <c r="F270" s="22">
        <v>10</v>
      </c>
      <c r="G270" s="22">
        <v>11</v>
      </c>
      <c r="H270" s="22">
        <v>8.7999999999999995E-2</v>
      </c>
      <c r="I270" s="22">
        <v>0.61</v>
      </c>
    </row>
    <row r="271" spans="1:9" x14ac:dyDescent="0.3">
      <c r="A271" s="22">
        <v>270</v>
      </c>
      <c r="B271" s="22" t="s">
        <v>282</v>
      </c>
      <c r="C271" s="22"/>
      <c r="D271" s="22" t="s">
        <v>23</v>
      </c>
      <c r="E271" s="22" t="s">
        <v>42</v>
      </c>
      <c r="F271" s="22">
        <v>11</v>
      </c>
      <c r="G271" s="22">
        <v>12</v>
      </c>
      <c r="H271" s="22">
        <v>8.7999999999999995E-2</v>
      </c>
      <c r="I271" s="22">
        <v>0.61</v>
      </c>
    </row>
    <row r="272" spans="1:9" x14ac:dyDescent="0.3">
      <c r="A272" s="22">
        <v>271</v>
      </c>
      <c r="B272" s="22" t="s">
        <v>283</v>
      </c>
      <c r="C272" s="22"/>
      <c r="D272" s="22" t="s">
        <v>23</v>
      </c>
      <c r="E272" s="22" t="s">
        <v>42</v>
      </c>
      <c r="F272" s="22">
        <v>12</v>
      </c>
      <c r="G272" s="22">
        <v>13</v>
      </c>
      <c r="H272" s="22">
        <v>8.7999999999999995E-2</v>
      </c>
      <c r="I272" s="22">
        <v>0.61</v>
      </c>
    </row>
    <row r="273" spans="1:9" x14ac:dyDescent="0.3">
      <c r="A273" s="22">
        <v>272</v>
      </c>
      <c r="B273" s="22" t="s">
        <v>284</v>
      </c>
      <c r="C273" s="22"/>
      <c r="D273" s="22" t="s">
        <v>23</v>
      </c>
      <c r="E273" s="22" t="s">
        <v>42</v>
      </c>
      <c r="F273" s="22">
        <v>13</v>
      </c>
      <c r="G273" s="22">
        <v>14</v>
      </c>
      <c r="H273" s="22">
        <v>8.7999999999999995E-2</v>
      </c>
      <c r="I273" s="22">
        <v>0.61</v>
      </c>
    </row>
    <row r="274" spans="1:9" x14ac:dyDescent="0.3">
      <c r="A274" s="22">
        <v>273</v>
      </c>
      <c r="B274" s="22" t="s">
        <v>285</v>
      </c>
      <c r="C274" s="22"/>
      <c r="D274" s="22" t="s">
        <v>23</v>
      </c>
      <c r="E274" s="22" t="s">
        <v>42</v>
      </c>
      <c r="F274" s="22">
        <v>14</v>
      </c>
      <c r="G274" s="22">
        <v>15</v>
      </c>
      <c r="H274" s="22">
        <v>8.7999999999999995E-2</v>
      </c>
      <c r="I274" s="22">
        <v>0.61</v>
      </c>
    </row>
    <row r="275" spans="1:9" x14ac:dyDescent="0.3">
      <c r="A275" s="22">
        <v>274</v>
      </c>
      <c r="B275" s="22" t="s">
        <v>286</v>
      </c>
      <c r="C275" s="22"/>
      <c r="D275" s="22" t="s">
        <v>23</v>
      </c>
      <c r="E275" s="22" t="s">
        <v>42</v>
      </c>
      <c r="F275" s="22">
        <v>15</v>
      </c>
      <c r="G275" s="22">
        <v>16</v>
      </c>
      <c r="H275" s="22">
        <v>8.7999999999999995E-2</v>
      </c>
      <c r="I275" s="22">
        <v>0.61</v>
      </c>
    </row>
    <row r="276" spans="1:9" x14ac:dyDescent="0.3">
      <c r="A276" s="22">
        <v>275</v>
      </c>
      <c r="B276" s="22" t="s">
        <v>287</v>
      </c>
      <c r="C276" s="22"/>
      <c r="D276" s="22" t="s">
        <v>23</v>
      </c>
      <c r="E276" s="22" t="s">
        <v>42</v>
      </c>
      <c r="F276" s="22">
        <v>16</v>
      </c>
      <c r="G276" s="22">
        <v>17</v>
      </c>
      <c r="H276" s="22">
        <v>8.7999999999999995E-2</v>
      </c>
      <c r="I276" s="22">
        <v>0.61</v>
      </c>
    </row>
    <row r="277" spans="1:9" x14ac:dyDescent="0.3">
      <c r="A277" s="22">
        <v>276</v>
      </c>
      <c r="B277" s="22" t="s">
        <v>288</v>
      </c>
      <c r="C277" s="22"/>
      <c r="D277" s="22" t="s">
        <v>23</v>
      </c>
      <c r="E277" s="22" t="s">
        <v>42</v>
      </c>
      <c r="F277" s="22">
        <v>17</v>
      </c>
      <c r="G277" s="22">
        <v>18</v>
      </c>
      <c r="H277" s="22">
        <v>8.7999999999999995E-2</v>
      </c>
      <c r="I277" s="22">
        <v>0.61</v>
      </c>
    </row>
    <row r="278" spans="1:9" x14ac:dyDescent="0.3">
      <c r="A278" s="22">
        <v>277</v>
      </c>
      <c r="B278" s="22" t="s">
        <v>289</v>
      </c>
      <c r="C278" s="22"/>
      <c r="D278" s="22" t="s">
        <v>23</v>
      </c>
      <c r="E278" s="22" t="s">
        <v>42</v>
      </c>
      <c r="F278" s="22">
        <v>19</v>
      </c>
      <c r="G278" s="22">
        <v>20</v>
      </c>
      <c r="H278" s="22">
        <v>8.7999999999999995E-2</v>
      </c>
      <c r="I278" s="22">
        <v>0.61</v>
      </c>
    </row>
    <row r="279" spans="1:9" x14ac:dyDescent="0.3">
      <c r="A279" s="22">
        <v>278</v>
      </c>
      <c r="B279" s="22" t="s">
        <v>290</v>
      </c>
      <c r="C279" s="22"/>
      <c r="D279" s="22" t="s">
        <v>23</v>
      </c>
      <c r="E279" s="22" t="s">
        <v>42</v>
      </c>
      <c r="F279" s="22">
        <v>20</v>
      </c>
      <c r="G279" s="22">
        <v>21</v>
      </c>
      <c r="H279" s="22">
        <v>8.7999999999999995E-2</v>
      </c>
      <c r="I279" s="22">
        <v>0.61</v>
      </c>
    </row>
    <row r="280" spans="1:9" x14ac:dyDescent="0.3">
      <c r="A280" s="22">
        <v>279</v>
      </c>
      <c r="B280" s="22" t="s">
        <v>291</v>
      </c>
      <c r="C280" s="22"/>
      <c r="D280" s="22" t="s">
        <v>23</v>
      </c>
      <c r="E280" s="22" t="s">
        <v>42</v>
      </c>
      <c r="F280" s="22">
        <v>21</v>
      </c>
      <c r="G280" s="22">
        <v>22</v>
      </c>
      <c r="H280" s="22">
        <v>8.7999999999999995E-2</v>
      </c>
      <c r="I280" s="22">
        <v>0.61</v>
      </c>
    </row>
    <row r="281" spans="1:9" x14ac:dyDescent="0.3">
      <c r="A281" s="22">
        <v>280</v>
      </c>
      <c r="B281" s="22" t="s">
        <v>292</v>
      </c>
      <c r="C281" s="22"/>
      <c r="D281" s="22" t="s">
        <v>23</v>
      </c>
      <c r="E281" s="22" t="s">
        <v>42</v>
      </c>
      <c r="F281" s="22">
        <v>22</v>
      </c>
      <c r="G281" s="22">
        <v>23</v>
      </c>
      <c r="H281" s="22">
        <v>8.7999999999999995E-2</v>
      </c>
      <c r="I281" s="22">
        <v>0.61</v>
      </c>
    </row>
    <row r="282" spans="1:9" x14ac:dyDescent="0.3">
      <c r="A282" s="22">
        <v>281</v>
      </c>
      <c r="B282" s="22" t="s">
        <v>293</v>
      </c>
      <c r="C282" s="22"/>
      <c r="D282" s="22" t="s">
        <v>23</v>
      </c>
      <c r="E282" s="22" t="s">
        <v>42</v>
      </c>
      <c r="F282" s="22">
        <v>23</v>
      </c>
      <c r="G282" s="22">
        <v>24</v>
      </c>
      <c r="H282" s="22">
        <v>8.7999999999999995E-2</v>
      </c>
      <c r="I282" s="22">
        <v>0.61</v>
      </c>
    </row>
    <row r="283" spans="1:9" x14ac:dyDescent="0.3">
      <c r="A283" s="22">
        <v>282</v>
      </c>
      <c r="B283" s="22" t="s">
        <v>294</v>
      </c>
      <c r="C283" s="22"/>
      <c r="D283" s="22" t="s">
        <v>23</v>
      </c>
      <c r="E283" s="22" t="s">
        <v>42</v>
      </c>
      <c r="F283" s="22">
        <v>24</v>
      </c>
      <c r="G283" s="22">
        <v>25</v>
      </c>
      <c r="H283" s="22">
        <v>8.7999999999999995E-2</v>
      </c>
      <c r="I283" s="22">
        <v>0.61</v>
      </c>
    </row>
    <row r="284" spans="1:9" x14ac:dyDescent="0.3">
      <c r="A284" s="22">
        <v>283</v>
      </c>
      <c r="B284" s="22" t="s">
        <v>295</v>
      </c>
      <c r="C284" s="22"/>
      <c r="D284" s="22" t="s">
        <v>23</v>
      </c>
      <c r="E284" s="22" t="s">
        <v>42</v>
      </c>
      <c r="F284" s="22">
        <v>25</v>
      </c>
      <c r="G284" s="22">
        <v>26</v>
      </c>
      <c r="H284" s="22">
        <v>8.7999999999999995E-2</v>
      </c>
      <c r="I284" s="22">
        <v>0.61</v>
      </c>
    </row>
    <row r="285" spans="1:9" x14ac:dyDescent="0.3">
      <c r="A285" s="22">
        <v>284</v>
      </c>
      <c r="B285" s="22" t="s">
        <v>296</v>
      </c>
      <c r="C285" s="22"/>
      <c r="D285" s="22" t="s">
        <v>23</v>
      </c>
      <c r="E285" s="22" t="s">
        <v>42</v>
      </c>
      <c r="F285" s="22">
        <v>26</v>
      </c>
      <c r="G285" s="22">
        <v>27</v>
      </c>
      <c r="H285" s="22">
        <v>8.7999999999999995E-2</v>
      </c>
      <c r="I285" s="22">
        <v>0.61</v>
      </c>
    </row>
    <row r="286" spans="1:9" x14ac:dyDescent="0.3">
      <c r="A286" s="22">
        <v>285</v>
      </c>
      <c r="B286" s="22" t="s">
        <v>297</v>
      </c>
      <c r="C286" s="22"/>
      <c r="D286" s="22" t="s">
        <v>23</v>
      </c>
      <c r="E286" s="22" t="s">
        <v>42</v>
      </c>
      <c r="F286" s="22">
        <v>28</v>
      </c>
      <c r="G286" s="22">
        <v>29</v>
      </c>
      <c r="H286" s="22">
        <v>8.7999999999999995E-2</v>
      </c>
      <c r="I286" s="22">
        <v>0.61</v>
      </c>
    </row>
    <row r="287" spans="1:9" x14ac:dyDescent="0.3">
      <c r="A287" s="22">
        <v>286</v>
      </c>
      <c r="B287" s="22" t="s">
        <v>298</v>
      </c>
      <c r="C287" s="22"/>
      <c r="D287" s="22" t="s">
        <v>23</v>
      </c>
      <c r="E287" s="22" t="s">
        <v>42</v>
      </c>
      <c r="F287" s="22">
        <v>29</v>
      </c>
      <c r="G287" s="22">
        <v>30</v>
      </c>
      <c r="H287" s="22">
        <v>8.7999999999999995E-2</v>
      </c>
      <c r="I287" s="22">
        <v>0.61</v>
      </c>
    </row>
    <row r="288" spans="1:9" x14ac:dyDescent="0.3">
      <c r="A288" s="22">
        <v>287</v>
      </c>
      <c r="B288" s="22" t="s">
        <v>299</v>
      </c>
      <c r="C288" s="22"/>
      <c r="D288" s="22" t="s">
        <v>23</v>
      </c>
      <c r="E288" s="22" t="s">
        <v>42</v>
      </c>
      <c r="F288" s="22">
        <v>30</v>
      </c>
      <c r="G288" s="22">
        <v>31</v>
      </c>
      <c r="H288" s="22">
        <v>8.7999999999999995E-2</v>
      </c>
      <c r="I288" s="22">
        <v>0.61</v>
      </c>
    </row>
    <row r="289" spans="1:9" x14ac:dyDescent="0.3">
      <c r="A289" s="22">
        <v>288</v>
      </c>
      <c r="B289" s="22" t="s">
        <v>300</v>
      </c>
      <c r="C289" s="22"/>
      <c r="D289" s="22" t="s">
        <v>23</v>
      </c>
      <c r="E289" s="22" t="s">
        <v>42</v>
      </c>
      <c r="F289" s="22">
        <v>31</v>
      </c>
      <c r="G289" s="22">
        <v>32</v>
      </c>
      <c r="H289" s="22">
        <v>8.7999999999999995E-2</v>
      </c>
      <c r="I289" s="22">
        <v>0.61</v>
      </c>
    </row>
    <row r="290" spans="1:9" x14ac:dyDescent="0.3">
      <c r="A290" s="22">
        <v>289</v>
      </c>
      <c r="B290" s="22" t="s">
        <v>301</v>
      </c>
      <c r="C290" s="22"/>
      <c r="D290" s="22" t="s">
        <v>23</v>
      </c>
      <c r="E290" s="22" t="s">
        <v>42</v>
      </c>
      <c r="F290" s="22">
        <v>32</v>
      </c>
      <c r="G290" s="22">
        <v>33</v>
      </c>
      <c r="H290" s="22">
        <v>8.7999999999999995E-2</v>
      </c>
      <c r="I290" s="22">
        <v>0.61</v>
      </c>
    </row>
    <row r="291" spans="1:9" x14ac:dyDescent="0.3">
      <c r="A291" s="22">
        <v>290</v>
      </c>
      <c r="B291" s="22" t="s">
        <v>302</v>
      </c>
      <c r="C291" s="22"/>
      <c r="D291" s="22" t="s">
        <v>23</v>
      </c>
      <c r="E291" s="22" t="s">
        <v>42</v>
      </c>
      <c r="F291" s="22">
        <v>33</v>
      </c>
      <c r="G291" s="22">
        <v>34</v>
      </c>
      <c r="H291" s="22">
        <v>8.7999999999999995E-2</v>
      </c>
      <c r="I291" s="22">
        <v>0.61</v>
      </c>
    </row>
    <row r="292" spans="1:9" x14ac:dyDescent="0.3">
      <c r="A292" s="22">
        <v>291</v>
      </c>
      <c r="B292" s="22" t="s">
        <v>303</v>
      </c>
      <c r="C292" s="22"/>
      <c r="D292" s="22" t="s">
        <v>23</v>
      </c>
      <c r="E292" s="22" t="s">
        <v>42</v>
      </c>
      <c r="F292" s="22">
        <v>34</v>
      </c>
      <c r="G292" s="22">
        <v>35</v>
      </c>
      <c r="H292" s="22">
        <v>8.7999999999999995E-2</v>
      </c>
      <c r="I292" s="22">
        <v>0.61</v>
      </c>
    </row>
    <row r="293" spans="1:9" x14ac:dyDescent="0.3">
      <c r="A293" s="22">
        <v>292</v>
      </c>
      <c r="B293" s="22" t="s">
        <v>304</v>
      </c>
      <c r="C293" s="22"/>
      <c r="D293" s="22" t="s">
        <v>23</v>
      </c>
      <c r="E293" s="22" t="s">
        <v>42</v>
      </c>
      <c r="F293" s="22">
        <v>35</v>
      </c>
      <c r="G293" s="22">
        <v>36</v>
      </c>
      <c r="H293" s="22">
        <v>8.7999999999999995E-2</v>
      </c>
      <c r="I293" s="22">
        <v>0.61</v>
      </c>
    </row>
    <row r="294" spans="1:9" x14ac:dyDescent="0.3">
      <c r="A294" s="22">
        <v>293</v>
      </c>
      <c r="B294" s="22" t="s">
        <v>305</v>
      </c>
      <c r="C294" s="22"/>
      <c r="D294" s="22" t="s">
        <v>23</v>
      </c>
      <c r="E294" s="22" t="s">
        <v>42</v>
      </c>
      <c r="F294" s="22">
        <v>37</v>
      </c>
      <c r="G294" s="22">
        <v>38</v>
      </c>
      <c r="H294" s="22">
        <v>8.7999999999999995E-2</v>
      </c>
      <c r="I294" s="22">
        <v>0.61</v>
      </c>
    </row>
    <row r="295" spans="1:9" x14ac:dyDescent="0.3">
      <c r="A295" s="22">
        <v>294</v>
      </c>
      <c r="B295" s="22" t="s">
        <v>306</v>
      </c>
      <c r="C295" s="22"/>
      <c r="D295" s="22" t="s">
        <v>23</v>
      </c>
      <c r="E295" s="22" t="s">
        <v>42</v>
      </c>
      <c r="F295" s="22">
        <v>38</v>
      </c>
      <c r="G295" s="22">
        <v>39</v>
      </c>
      <c r="H295" s="22">
        <v>8.7999999999999995E-2</v>
      </c>
      <c r="I295" s="22">
        <v>0.61</v>
      </c>
    </row>
    <row r="296" spans="1:9" x14ac:dyDescent="0.3">
      <c r="A296" s="22">
        <v>295</v>
      </c>
      <c r="B296" s="22" t="s">
        <v>307</v>
      </c>
      <c r="C296" s="22"/>
      <c r="D296" s="22" t="s">
        <v>23</v>
      </c>
      <c r="E296" s="22" t="s">
        <v>42</v>
      </c>
      <c r="F296" s="22">
        <v>39</v>
      </c>
      <c r="G296" s="22">
        <v>40</v>
      </c>
      <c r="H296" s="22">
        <v>8.7999999999999995E-2</v>
      </c>
      <c r="I296" s="22">
        <v>0.61</v>
      </c>
    </row>
    <row r="297" spans="1:9" x14ac:dyDescent="0.3">
      <c r="A297" s="22">
        <v>296</v>
      </c>
      <c r="B297" s="22" t="s">
        <v>308</v>
      </c>
      <c r="C297" s="22"/>
      <c r="D297" s="22" t="s">
        <v>23</v>
      </c>
      <c r="E297" s="22" t="s">
        <v>42</v>
      </c>
      <c r="F297" s="22">
        <v>40</v>
      </c>
      <c r="G297" s="22">
        <v>41</v>
      </c>
      <c r="H297" s="22">
        <v>8.7999999999999995E-2</v>
      </c>
      <c r="I297" s="22">
        <v>0.61</v>
      </c>
    </row>
    <row r="298" spans="1:9" x14ac:dyDescent="0.3">
      <c r="A298" s="22">
        <v>297</v>
      </c>
      <c r="B298" s="22" t="s">
        <v>309</v>
      </c>
      <c r="C298" s="22"/>
      <c r="D298" s="22" t="s">
        <v>23</v>
      </c>
      <c r="E298" s="22" t="s">
        <v>42</v>
      </c>
      <c r="F298" s="22">
        <v>41</v>
      </c>
      <c r="G298" s="22">
        <v>42</v>
      </c>
      <c r="H298" s="22">
        <v>8.7999999999999995E-2</v>
      </c>
      <c r="I298" s="22">
        <v>0.61</v>
      </c>
    </row>
    <row r="299" spans="1:9" x14ac:dyDescent="0.3">
      <c r="A299" s="22">
        <v>298</v>
      </c>
      <c r="B299" s="22" t="s">
        <v>310</v>
      </c>
      <c r="C299" s="22"/>
      <c r="D299" s="22" t="s">
        <v>23</v>
      </c>
      <c r="E299" s="22" t="s">
        <v>42</v>
      </c>
      <c r="F299" s="22">
        <v>42</v>
      </c>
      <c r="G299" s="22">
        <v>43</v>
      </c>
      <c r="H299" s="22">
        <v>8.7999999999999995E-2</v>
      </c>
      <c r="I299" s="22">
        <v>0.61</v>
      </c>
    </row>
    <row r="300" spans="1:9" x14ac:dyDescent="0.3">
      <c r="A300" s="22">
        <v>299</v>
      </c>
      <c r="B300" s="22" t="s">
        <v>311</v>
      </c>
      <c r="C300" s="22"/>
      <c r="D300" s="22" t="s">
        <v>23</v>
      </c>
      <c r="E300" s="22" t="s">
        <v>42</v>
      </c>
      <c r="F300" s="22">
        <v>43</v>
      </c>
      <c r="G300" s="22">
        <v>44</v>
      </c>
      <c r="H300" s="22">
        <v>8.7999999999999995E-2</v>
      </c>
      <c r="I300" s="22">
        <v>0.61</v>
      </c>
    </row>
    <row r="301" spans="1:9" x14ac:dyDescent="0.3">
      <c r="A301" s="22">
        <v>300</v>
      </c>
      <c r="B301" s="22" t="s">
        <v>312</v>
      </c>
      <c r="C301" s="22"/>
      <c r="D301" s="22" t="s">
        <v>23</v>
      </c>
      <c r="E301" s="22" t="s">
        <v>42</v>
      </c>
      <c r="F301" s="22">
        <v>44</v>
      </c>
      <c r="G301" s="22">
        <v>45</v>
      </c>
      <c r="H301" s="22">
        <v>8.7999999999999995E-2</v>
      </c>
      <c r="I301" s="22">
        <v>0.61</v>
      </c>
    </row>
    <row r="302" spans="1:9" x14ac:dyDescent="0.3">
      <c r="A302" s="22">
        <v>301</v>
      </c>
      <c r="B302" s="22" t="s">
        <v>313</v>
      </c>
      <c r="C302" s="22"/>
      <c r="D302" s="22" t="s">
        <v>23</v>
      </c>
      <c r="E302" s="22" t="s">
        <v>42</v>
      </c>
      <c r="F302" s="22">
        <v>55</v>
      </c>
      <c r="G302" s="22">
        <v>56</v>
      </c>
      <c r="H302" s="22">
        <v>8.7999999999999995E-2</v>
      </c>
      <c r="I302" s="22">
        <v>0.61</v>
      </c>
    </row>
    <row r="303" spans="1:9" x14ac:dyDescent="0.3">
      <c r="A303" s="22">
        <v>302</v>
      </c>
      <c r="B303" s="22" t="s">
        <v>314</v>
      </c>
      <c r="C303" s="22"/>
      <c r="D303" s="22" t="s">
        <v>23</v>
      </c>
      <c r="E303" s="22" t="s">
        <v>42</v>
      </c>
      <c r="F303" s="22">
        <v>56</v>
      </c>
      <c r="G303" s="22">
        <v>57</v>
      </c>
      <c r="H303" s="22">
        <v>8.7999999999999995E-2</v>
      </c>
      <c r="I303" s="22">
        <v>0.61</v>
      </c>
    </row>
    <row r="304" spans="1:9" x14ac:dyDescent="0.3">
      <c r="A304" s="22">
        <v>303</v>
      </c>
      <c r="B304" s="22" t="s">
        <v>315</v>
      </c>
      <c r="C304" s="22"/>
      <c r="D304" s="22" t="s">
        <v>23</v>
      </c>
      <c r="E304" s="22" t="s">
        <v>42</v>
      </c>
      <c r="F304" s="22">
        <v>57</v>
      </c>
      <c r="G304" s="22">
        <v>58</v>
      </c>
      <c r="H304" s="22">
        <v>8.7999999999999995E-2</v>
      </c>
      <c r="I304" s="22">
        <v>0.61</v>
      </c>
    </row>
    <row r="305" spans="1:9" x14ac:dyDescent="0.3">
      <c r="A305" s="22">
        <v>304</v>
      </c>
      <c r="B305" s="22" t="s">
        <v>316</v>
      </c>
      <c r="C305" s="22"/>
      <c r="D305" s="22" t="s">
        <v>23</v>
      </c>
      <c r="E305" s="22" t="s">
        <v>42</v>
      </c>
      <c r="F305" s="22">
        <v>58</v>
      </c>
      <c r="G305" s="22">
        <v>59</v>
      </c>
      <c r="H305" s="22">
        <v>8.7999999999999995E-2</v>
      </c>
      <c r="I305" s="22">
        <v>0.61</v>
      </c>
    </row>
    <row r="306" spans="1:9" x14ac:dyDescent="0.3">
      <c r="A306" s="22">
        <v>305</v>
      </c>
      <c r="B306" s="22" t="s">
        <v>317</v>
      </c>
      <c r="C306" s="22"/>
      <c r="D306" s="22" t="s">
        <v>23</v>
      </c>
      <c r="E306" s="22" t="s">
        <v>42</v>
      </c>
      <c r="F306" s="22">
        <v>59</v>
      </c>
      <c r="G306" s="22">
        <v>60</v>
      </c>
      <c r="H306" s="22">
        <v>8.7999999999999995E-2</v>
      </c>
      <c r="I306" s="22">
        <v>0.61</v>
      </c>
    </row>
    <row r="307" spans="1:9" x14ac:dyDescent="0.3">
      <c r="A307" s="22">
        <v>306</v>
      </c>
      <c r="B307" s="22" t="s">
        <v>318</v>
      </c>
      <c r="C307" s="22"/>
      <c r="D307" s="22" t="s">
        <v>23</v>
      </c>
      <c r="E307" s="22" t="s">
        <v>42</v>
      </c>
      <c r="F307" s="22">
        <v>60</v>
      </c>
      <c r="G307" s="22">
        <v>61</v>
      </c>
      <c r="H307" s="22">
        <v>8.7999999999999995E-2</v>
      </c>
      <c r="I307" s="22">
        <v>0.61</v>
      </c>
    </row>
    <row r="308" spans="1:9" x14ac:dyDescent="0.3">
      <c r="A308" s="22">
        <v>307</v>
      </c>
      <c r="B308" s="22" t="s">
        <v>319</v>
      </c>
      <c r="C308" s="22"/>
      <c r="D308" s="22" t="s">
        <v>23</v>
      </c>
      <c r="E308" s="22" t="s">
        <v>42</v>
      </c>
      <c r="F308" s="22">
        <v>61</v>
      </c>
      <c r="G308" s="22">
        <v>62</v>
      </c>
      <c r="H308" s="22">
        <v>8.7999999999999995E-2</v>
      </c>
      <c r="I308" s="22">
        <v>0.61</v>
      </c>
    </row>
    <row r="309" spans="1:9" x14ac:dyDescent="0.3">
      <c r="A309" s="22">
        <v>308</v>
      </c>
      <c r="B309" s="22" t="s">
        <v>320</v>
      </c>
      <c r="C309" s="22"/>
      <c r="D309" s="22" t="s">
        <v>23</v>
      </c>
      <c r="E309" s="22" t="s">
        <v>42</v>
      </c>
      <c r="F309" s="22">
        <v>62</v>
      </c>
      <c r="G309" s="22">
        <v>63</v>
      </c>
      <c r="H309" s="22">
        <v>8.7999999999999995E-2</v>
      </c>
      <c r="I309" s="22">
        <v>0.61</v>
      </c>
    </row>
    <row r="310" spans="1:9" x14ac:dyDescent="0.3">
      <c r="A310" s="22">
        <v>309</v>
      </c>
      <c r="B310" s="22" t="s">
        <v>321</v>
      </c>
      <c r="C310" s="22"/>
      <c r="D310" s="22" t="s">
        <v>23</v>
      </c>
      <c r="E310" s="22" t="s">
        <v>42</v>
      </c>
      <c r="F310" s="22">
        <v>64</v>
      </c>
      <c r="G310" s="22">
        <v>65</v>
      </c>
      <c r="H310" s="22">
        <v>8.7999999999999995E-2</v>
      </c>
      <c r="I310" s="22">
        <v>0.61</v>
      </c>
    </row>
    <row r="311" spans="1:9" x14ac:dyDescent="0.3">
      <c r="A311" s="22">
        <v>310</v>
      </c>
      <c r="B311" s="22" t="s">
        <v>322</v>
      </c>
      <c r="C311" s="22"/>
      <c r="D311" s="22" t="s">
        <v>23</v>
      </c>
      <c r="E311" s="22" t="s">
        <v>42</v>
      </c>
      <c r="F311" s="22">
        <v>65</v>
      </c>
      <c r="G311" s="22">
        <v>66</v>
      </c>
      <c r="H311" s="22">
        <v>8.7999999999999995E-2</v>
      </c>
      <c r="I311" s="22">
        <v>0.61</v>
      </c>
    </row>
    <row r="312" spans="1:9" x14ac:dyDescent="0.3">
      <c r="A312" s="22">
        <v>311</v>
      </c>
      <c r="B312" s="22" t="s">
        <v>323</v>
      </c>
      <c r="C312" s="22"/>
      <c r="D312" s="22" t="s">
        <v>23</v>
      </c>
      <c r="E312" s="22" t="s">
        <v>42</v>
      </c>
      <c r="F312" s="22">
        <v>66</v>
      </c>
      <c r="G312" s="22">
        <v>67</v>
      </c>
      <c r="H312" s="22">
        <v>8.7999999999999995E-2</v>
      </c>
      <c r="I312" s="22">
        <v>0.61</v>
      </c>
    </row>
    <row r="313" spans="1:9" x14ac:dyDescent="0.3">
      <c r="A313" s="22">
        <v>312</v>
      </c>
      <c r="B313" s="22" t="s">
        <v>324</v>
      </c>
      <c r="C313" s="22"/>
      <c r="D313" s="22" t="s">
        <v>23</v>
      </c>
      <c r="E313" s="22" t="s">
        <v>42</v>
      </c>
      <c r="F313" s="22">
        <v>67</v>
      </c>
      <c r="G313" s="22">
        <v>68</v>
      </c>
      <c r="H313" s="22">
        <v>8.7999999999999995E-2</v>
      </c>
      <c r="I313" s="22">
        <v>0.61</v>
      </c>
    </row>
    <row r="314" spans="1:9" x14ac:dyDescent="0.3">
      <c r="A314" s="22">
        <v>313</v>
      </c>
      <c r="B314" s="22" t="s">
        <v>325</v>
      </c>
      <c r="C314" s="22"/>
      <c r="D314" s="22" t="s">
        <v>23</v>
      </c>
      <c r="E314" s="22" t="s">
        <v>42</v>
      </c>
      <c r="F314" s="22">
        <v>68</v>
      </c>
      <c r="G314" s="22">
        <v>69</v>
      </c>
      <c r="H314" s="22">
        <v>8.7999999999999995E-2</v>
      </c>
      <c r="I314" s="22">
        <v>0.61</v>
      </c>
    </row>
    <row r="315" spans="1:9" x14ac:dyDescent="0.3">
      <c r="A315" s="22">
        <v>314</v>
      </c>
      <c r="B315" s="22" t="s">
        <v>326</v>
      </c>
      <c r="C315" s="22"/>
      <c r="D315" s="22" t="s">
        <v>23</v>
      </c>
      <c r="E315" s="22" t="s">
        <v>42</v>
      </c>
      <c r="F315" s="22">
        <v>69</v>
      </c>
      <c r="G315" s="22">
        <v>70</v>
      </c>
      <c r="H315" s="22">
        <v>8.7999999999999995E-2</v>
      </c>
      <c r="I315" s="22">
        <v>0.61</v>
      </c>
    </row>
    <row r="316" spans="1:9" x14ac:dyDescent="0.3">
      <c r="A316" s="22">
        <v>315</v>
      </c>
      <c r="B316" s="22" t="s">
        <v>327</v>
      </c>
      <c r="C316" s="22"/>
      <c r="D316" s="22" t="s">
        <v>23</v>
      </c>
      <c r="E316" s="22" t="s">
        <v>42</v>
      </c>
      <c r="F316" s="22">
        <v>70</v>
      </c>
      <c r="G316" s="22">
        <v>71</v>
      </c>
      <c r="H316" s="22">
        <v>8.7999999999999995E-2</v>
      </c>
      <c r="I316" s="22">
        <v>0.61</v>
      </c>
    </row>
    <row r="317" spans="1:9" x14ac:dyDescent="0.3">
      <c r="A317" s="22">
        <v>316</v>
      </c>
      <c r="B317" s="22" t="s">
        <v>328</v>
      </c>
      <c r="C317" s="22"/>
      <c r="D317" s="22" t="s">
        <v>23</v>
      </c>
      <c r="E317" s="22" t="s">
        <v>42</v>
      </c>
      <c r="F317" s="22">
        <v>71</v>
      </c>
      <c r="G317" s="22">
        <v>72</v>
      </c>
      <c r="H317" s="22">
        <v>8.7999999999999995E-2</v>
      </c>
      <c r="I317" s="22">
        <v>0.61</v>
      </c>
    </row>
    <row r="318" spans="1:9" x14ac:dyDescent="0.3">
      <c r="A318" s="22">
        <v>317</v>
      </c>
      <c r="B318" s="22" t="s">
        <v>329</v>
      </c>
      <c r="C318" s="22"/>
      <c r="D318" s="22" t="s">
        <v>23</v>
      </c>
      <c r="E318" s="22" t="s">
        <v>42</v>
      </c>
      <c r="F318" s="22">
        <v>73</v>
      </c>
      <c r="G318" s="22">
        <v>74</v>
      </c>
      <c r="H318" s="22">
        <v>8.7999999999999995E-2</v>
      </c>
      <c r="I318" s="22">
        <v>0.61</v>
      </c>
    </row>
    <row r="319" spans="1:9" x14ac:dyDescent="0.3">
      <c r="A319" s="22">
        <v>318</v>
      </c>
      <c r="B319" s="22" t="s">
        <v>330</v>
      </c>
      <c r="C319" s="22"/>
      <c r="D319" s="22" t="s">
        <v>23</v>
      </c>
      <c r="E319" s="22" t="s">
        <v>42</v>
      </c>
      <c r="F319" s="22">
        <v>74</v>
      </c>
      <c r="G319" s="22">
        <v>75</v>
      </c>
      <c r="H319" s="22">
        <v>8.7999999999999995E-2</v>
      </c>
      <c r="I319" s="22">
        <v>0.61</v>
      </c>
    </row>
    <row r="320" spans="1:9" x14ac:dyDescent="0.3">
      <c r="A320" s="22">
        <v>319</v>
      </c>
      <c r="B320" s="22" t="s">
        <v>331</v>
      </c>
      <c r="C320" s="22"/>
      <c r="D320" s="22" t="s">
        <v>23</v>
      </c>
      <c r="E320" s="22" t="s">
        <v>42</v>
      </c>
      <c r="F320" s="22">
        <v>75</v>
      </c>
      <c r="G320" s="22">
        <v>76</v>
      </c>
      <c r="H320" s="22">
        <v>8.7999999999999995E-2</v>
      </c>
      <c r="I320" s="22">
        <v>0.61</v>
      </c>
    </row>
    <row r="321" spans="1:9" x14ac:dyDescent="0.3">
      <c r="A321" s="22">
        <v>320</v>
      </c>
      <c r="B321" s="22" t="s">
        <v>332</v>
      </c>
      <c r="C321" s="22"/>
      <c r="D321" s="22" t="s">
        <v>23</v>
      </c>
      <c r="E321" s="22" t="s">
        <v>42</v>
      </c>
      <c r="F321" s="22">
        <v>76</v>
      </c>
      <c r="G321" s="22">
        <v>77</v>
      </c>
      <c r="H321" s="22">
        <v>8.7999999999999995E-2</v>
      </c>
      <c r="I321" s="22">
        <v>0.61</v>
      </c>
    </row>
    <row r="322" spans="1:9" x14ac:dyDescent="0.3">
      <c r="A322" s="22">
        <v>321</v>
      </c>
      <c r="B322" s="22" t="s">
        <v>333</v>
      </c>
      <c r="C322" s="22"/>
      <c r="D322" s="22" t="s">
        <v>23</v>
      </c>
      <c r="E322" s="22" t="s">
        <v>42</v>
      </c>
      <c r="F322" s="22">
        <v>77</v>
      </c>
      <c r="G322" s="22">
        <v>78</v>
      </c>
      <c r="H322" s="22">
        <v>8.7999999999999995E-2</v>
      </c>
      <c r="I322" s="22">
        <v>0.61</v>
      </c>
    </row>
    <row r="323" spans="1:9" x14ac:dyDescent="0.3">
      <c r="A323" s="22">
        <v>322</v>
      </c>
      <c r="B323" s="22" t="s">
        <v>334</v>
      </c>
      <c r="C323" s="22"/>
      <c r="D323" s="22" t="s">
        <v>23</v>
      </c>
      <c r="E323" s="22" t="s">
        <v>42</v>
      </c>
      <c r="F323" s="22">
        <v>78</v>
      </c>
      <c r="G323" s="22">
        <v>79</v>
      </c>
      <c r="H323" s="22">
        <v>8.7999999999999995E-2</v>
      </c>
      <c r="I323" s="22">
        <v>0.61</v>
      </c>
    </row>
    <row r="324" spans="1:9" x14ac:dyDescent="0.3">
      <c r="A324" s="22">
        <v>323</v>
      </c>
      <c r="B324" s="22" t="s">
        <v>335</v>
      </c>
      <c r="C324" s="22"/>
      <c r="D324" s="22" t="s">
        <v>23</v>
      </c>
      <c r="E324" s="22" t="s">
        <v>42</v>
      </c>
      <c r="F324" s="22">
        <v>79</v>
      </c>
      <c r="G324" s="22">
        <v>80</v>
      </c>
      <c r="H324" s="22">
        <v>8.7999999999999995E-2</v>
      </c>
      <c r="I324" s="22">
        <v>0.61</v>
      </c>
    </row>
    <row r="325" spans="1:9" x14ac:dyDescent="0.3">
      <c r="A325" s="22">
        <v>324</v>
      </c>
      <c r="B325" s="22" t="s">
        <v>336</v>
      </c>
      <c r="C325" s="22"/>
      <c r="D325" s="22" t="s">
        <v>23</v>
      </c>
      <c r="E325" s="22" t="s">
        <v>42</v>
      </c>
      <c r="F325" s="22">
        <v>80</v>
      </c>
      <c r="G325" s="22">
        <v>81</v>
      </c>
      <c r="H325" s="22">
        <v>8.7999999999999995E-2</v>
      </c>
      <c r="I325" s="22">
        <v>0.61</v>
      </c>
    </row>
    <row r="326" spans="1:9" x14ac:dyDescent="0.3">
      <c r="A326" s="22">
        <v>325</v>
      </c>
      <c r="B326" s="22" t="s">
        <v>337</v>
      </c>
      <c r="C326" s="22"/>
      <c r="D326" s="22" t="s">
        <v>23</v>
      </c>
      <c r="E326" s="22" t="s">
        <v>42</v>
      </c>
      <c r="F326" s="22">
        <v>82</v>
      </c>
      <c r="G326" s="22">
        <v>83</v>
      </c>
      <c r="H326" s="22">
        <v>8.7999999999999995E-2</v>
      </c>
      <c r="I326" s="22">
        <v>0.61</v>
      </c>
    </row>
    <row r="327" spans="1:9" x14ac:dyDescent="0.3">
      <c r="A327" s="22">
        <v>326</v>
      </c>
      <c r="B327" s="22" t="s">
        <v>338</v>
      </c>
      <c r="C327" s="22"/>
      <c r="D327" s="22" t="s">
        <v>23</v>
      </c>
      <c r="E327" s="22" t="s">
        <v>42</v>
      </c>
      <c r="F327" s="22">
        <v>83</v>
      </c>
      <c r="G327" s="22">
        <v>84</v>
      </c>
      <c r="H327" s="22">
        <v>8.7999999999999995E-2</v>
      </c>
      <c r="I327" s="22">
        <v>0.61</v>
      </c>
    </row>
    <row r="328" spans="1:9" x14ac:dyDescent="0.3">
      <c r="A328" s="22">
        <v>327</v>
      </c>
      <c r="B328" s="22" t="s">
        <v>339</v>
      </c>
      <c r="C328" s="22"/>
      <c r="D328" s="22" t="s">
        <v>23</v>
      </c>
      <c r="E328" s="22" t="s">
        <v>42</v>
      </c>
      <c r="F328" s="22">
        <v>84</v>
      </c>
      <c r="G328" s="22">
        <v>85</v>
      </c>
      <c r="H328" s="22">
        <v>8.7999999999999995E-2</v>
      </c>
      <c r="I328" s="22">
        <v>0.61</v>
      </c>
    </row>
    <row r="329" spans="1:9" x14ac:dyDescent="0.3">
      <c r="A329" s="22">
        <v>328</v>
      </c>
      <c r="B329" s="22" t="s">
        <v>340</v>
      </c>
      <c r="C329" s="22"/>
      <c r="D329" s="22" t="s">
        <v>23</v>
      </c>
      <c r="E329" s="22" t="s">
        <v>42</v>
      </c>
      <c r="F329" s="22">
        <v>85</v>
      </c>
      <c r="G329" s="22">
        <v>86</v>
      </c>
      <c r="H329" s="22">
        <v>8.7999999999999995E-2</v>
      </c>
      <c r="I329" s="22">
        <v>0.61</v>
      </c>
    </row>
    <row r="330" spans="1:9" x14ac:dyDescent="0.3">
      <c r="A330" s="22">
        <v>329</v>
      </c>
      <c r="B330" s="22" t="s">
        <v>341</v>
      </c>
      <c r="C330" s="22"/>
      <c r="D330" s="22" t="s">
        <v>23</v>
      </c>
      <c r="E330" s="22" t="s">
        <v>42</v>
      </c>
      <c r="F330" s="22">
        <v>86</v>
      </c>
      <c r="G330" s="22">
        <v>87</v>
      </c>
      <c r="H330" s="22">
        <v>8.7999999999999995E-2</v>
      </c>
      <c r="I330" s="22">
        <v>0.61</v>
      </c>
    </row>
    <row r="331" spans="1:9" x14ac:dyDescent="0.3">
      <c r="A331" s="22">
        <v>330</v>
      </c>
      <c r="B331" s="22" t="s">
        <v>342</v>
      </c>
      <c r="C331" s="22"/>
      <c r="D331" s="22" t="s">
        <v>23</v>
      </c>
      <c r="E331" s="22" t="s">
        <v>42</v>
      </c>
      <c r="F331" s="22">
        <v>87</v>
      </c>
      <c r="G331" s="22">
        <v>88</v>
      </c>
      <c r="H331" s="22">
        <v>8.7999999999999995E-2</v>
      </c>
      <c r="I331" s="22">
        <v>0.61</v>
      </c>
    </row>
    <row r="332" spans="1:9" x14ac:dyDescent="0.3">
      <c r="A332" s="22">
        <v>331</v>
      </c>
      <c r="B332" s="22" t="s">
        <v>343</v>
      </c>
      <c r="C332" s="22"/>
      <c r="D332" s="22" t="s">
        <v>23</v>
      </c>
      <c r="E332" s="22" t="s">
        <v>42</v>
      </c>
      <c r="F332" s="22">
        <v>88</v>
      </c>
      <c r="G332" s="22">
        <v>89</v>
      </c>
      <c r="H332" s="22">
        <v>8.7999999999999995E-2</v>
      </c>
      <c r="I332" s="22">
        <v>0.61</v>
      </c>
    </row>
    <row r="333" spans="1:9" x14ac:dyDescent="0.3">
      <c r="A333" s="22">
        <v>332</v>
      </c>
      <c r="B333" s="22" t="s">
        <v>344</v>
      </c>
      <c r="C333" s="22"/>
      <c r="D333" s="22" t="s">
        <v>23</v>
      </c>
      <c r="E333" s="22" t="s">
        <v>42</v>
      </c>
      <c r="F333" s="22">
        <v>89</v>
      </c>
      <c r="G333" s="22">
        <v>90</v>
      </c>
      <c r="H333" s="22">
        <v>8.7999999999999995E-2</v>
      </c>
      <c r="I333" s="22">
        <v>0.61</v>
      </c>
    </row>
    <row r="334" spans="1:9" x14ac:dyDescent="0.3">
      <c r="A334" s="22">
        <v>333</v>
      </c>
      <c r="B334" s="22" t="s">
        <v>345</v>
      </c>
      <c r="C334" s="22"/>
      <c r="D334" s="22" t="s">
        <v>23</v>
      </c>
      <c r="E334" s="22" t="s">
        <v>42</v>
      </c>
      <c r="F334" s="22">
        <v>91</v>
      </c>
      <c r="G334" s="22">
        <v>92</v>
      </c>
      <c r="H334" s="22">
        <v>8.7999999999999995E-2</v>
      </c>
      <c r="I334" s="22">
        <v>0.61</v>
      </c>
    </row>
    <row r="335" spans="1:9" x14ac:dyDescent="0.3">
      <c r="A335" s="22">
        <v>334</v>
      </c>
      <c r="B335" s="22" t="s">
        <v>346</v>
      </c>
      <c r="C335" s="22"/>
      <c r="D335" s="22" t="s">
        <v>23</v>
      </c>
      <c r="E335" s="22" t="s">
        <v>42</v>
      </c>
      <c r="F335" s="22">
        <v>92</v>
      </c>
      <c r="G335" s="22">
        <v>93</v>
      </c>
      <c r="H335" s="22">
        <v>8.7999999999999995E-2</v>
      </c>
      <c r="I335" s="22">
        <v>0.61</v>
      </c>
    </row>
    <row r="336" spans="1:9" x14ac:dyDescent="0.3">
      <c r="A336" s="22">
        <v>335</v>
      </c>
      <c r="B336" s="22" t="s">
        <v>347</v>
      </c>
      <c r="C336" s="22"/>
      <c r="D336" s="22" t="s">
        <v>23</v>
      </c>
      <c r="E336" s="22" t="s">
        <v>42</v>
      </c>
      <c r="F336" s="22">
        <v>93</v>
      </c>
      <c r="G336" s="22">
        <v>94</v>
      </c>
      <c r="H336" s="22">
        <v>8.7999999999999995E-2</v>
      </c>
      <c r="I336" s="22">
        <v>0.61</v>
      </c>
    </row>
    <row r="337" spans="1:9" x14ac:dyDescent="0.3">
      <c r="A337" s="22">
        <v>336</v>
      </c>
      <c r="B337" s="22" t="s">
        <v>348</v>
      </c>
      <c r="C337" s="22"/>
      <c r="D337" s="22" t="s">
        <v>23</v>
      </c>
      <c r="E337" s="22" t="s">
        <v>42</v>
      </c>
      <c r="F337" s="22">
        <v>94</v>
      </c>
      <c r="G337" s="22">
        <v>95</v>
      </c>
      <c r="H337" s="22">
        <v>8.7999999999999995E-2</v>
      </c>
      <c r="I337" s="22">
        <v>0.61</v>
      </c>
    </row>
    <row r="338" spans="1:9" x14ac:dyDescent="0.3">
      <c r="A338" s="22">
        <v>337</v>
      </c>
      <c r="B338" s="22" t="s">
        <v>349</v>
      </c>
      <c r="C338" s="22"/>
      <c r="D338" s="22" t="s">
        <v>23</v>
      </c>
      <c r="E338" s="22" t="s">
        <v>42</v>
      </c>
      <c r="F338" s="22">
        <v>95</v>
      </c>
      <c r="G338" s="22">
        <v>96</v>
      </c>
      <c r="H338" s="22">
        <v>8.7999999999999995E-2</v>
      </c>
      <c r="I338" s="22">
        <v>0.61</v>
      </c>
    </row>
    <row r="339" spans="1:9" x14ac:dyDescent="0.3">
      <c r="A339" s="22">
        <v>338</v>
      </c>
      <c r="B339" s="22" t="s">
        <v>350</v>
      </c>
      <c r="C339" s="22"/>
      <c r="D339" s="22" t="s">
        <v>23</v>
      </c>
      <c r="E339" s="22" t="s">
        <v>42</v>
      </c>
      <c r="F339" s="22">
        <v>96</v>
      </c>
      <c r="G339" s="22">
        <v>97</v>
      </c>
      <c r="H339" s="22">
        <v>8.7999999999999995E-2</v>
      </c>
      <c r="I339" s="22">
        <v>0.61</v>
      </c>
    </row>
    <row r="340" spans="1:9" x14ac:dyDescent="0.3">
      <c r="A340" s="22">
        <v>339</v>
      </c>
      <c r="B340" s="22" t="s">
        <v>351</v>
      </c>
      <c r="C340" s="22"/>
      <c r="D340" s="22" t="s">
        <v>23</v>
      </c>
      <c r="E340" s="22" t="s">
        <v>42</v>
      </c>
      <c r="F340" s="22">
        <v>97</v>
      </c>
      <c r="G340" s="22">
        <v>98</v>
      </c>
      <c r="H340" s="22">
        <v>8.7999999999999995E-2</v>
      </c>
      <c r="I340" s="22">
        <v>0.61</v>
      </c>
    </row>
    <row r="341" spans="1:9" x14ac:dyDescent="0.3">
      <c r="A341" s="22">
        <v>340</v>
      </c>
      <c r="B341" s="22" t="s">
        <v>352</v>
      </c>
      <c r="C341" s="22"/>
      <c r="D341" s="22" t="s">
        <v>23</v>
      </c>
      <c r="E341" s="22" t="s">
        <v>42</v>
      </c>
      <c r="F341" s="22">
        <v>98</v>
      </c>
      <c r="G341" s="22">
        <v>99</v>
      </c>
      <c r="H341" s="22">
        <v>8.7999999999999995E-2</v>
      </c>
      <c r="I341" s="22">
        <v>0.61</v>
      </c>
    </row>
    <row r="342" spans="1:9" x14ac:dyDescent="0.3">
      <c r="A342" s="22">
        <v>341</v>
      </c>
      <c r="B342" s="22" t="s">
        <v>353</v>
      </c>
      <c r="C342" s="22"/>
      <c r="D342" s="22" t="s">
        <v>23</v>
      </c>
      <c r="E342" s="22" t="s">
        <v>42</v>
      </c>
      <c r="F342" s="22">
        <v>100</v>
      </c>
      <c r="G342" s="22">
        <v>101</v>
      </c>
      <c r="H342" s="22">
        <v>8.7999999999999995E-2</v>
      </c>
      <c r="I342" s="22">
        <v>0.61</v>
      </c>
    </row>
    <row r="343" spans="1:9" x14ac:dyDescent="0.3">
      <c r="A343" s="22">
        <v>342</v>
      </c>
      <c r="B343" s="22" t="s">
        <v>354</v>
      </c>
      <c r="C343" s="22"/>
      <c r="D343" s="22" t="s">
        <v>23</v>
      </c>
      <c r="E343" s="22" t="s">
        <v>42</v>
      </c>
      <c r="F343" s="22">
        <v>101</v>
      </c>
      <c r="G343" s="22">
        <v>102</v>
      </c>
      <c r="H343" s="22">
        <v>8.7999999999999995E-2</v>
      </c>
      <c r="I343" s="22">
        <v>0.61</v>
      </c>
    </row>
    <row r="344" spans="1:9" x14ac:dyDescent="0.3">
      <c r="A344" s="22">
        <v>343</v>
      </c>
      <c r="B344" s="22" t="s">
        <v>355</v>
      </c>
      <c r="C344" s="22"/>
      <c r="D344" s="22" t="s">
        <v>23</v>
      </c>
      <c r="E344" s="22" t="s">
        <v>42</v>
      </c>
      <c r="F344" s="22">
        <v>102</v>
      </c>
      <c r="G344" s="22">
        <v>103</v>
      </c>
      <c r="H344" s="22">
        <v>8.7999999999999995E-2</v>
      </c>
      <c r="I344" s="22">
        <v>0.61</v>
      </c>
    </row>
    <row r="345" spans="1:9" x14ac:dyDescent="0.3">
      <c r="A345" s="22">
        <v>344</v>
      </c>
      <c r="B345" s="22" t="s">
        <v>356</v>
      </c>
      <c r="C345" s="22"/>
      <c r="D345" s="22" t="s">
        <v>23</v>
      </c>
      <c r="E345" s="22" t="s">
        <v>42</v>
      </c>
      <c r="F345" s="22">
        <v>103</v>
      </c>
      <c r="G345" s="22">
        <v>104</v>
      </c>
      <c r="H345" s="22">
        <v>8.7999999999999995E-2</v>
      </c>
      <c r="I345" s="22">
        <v>0.61</v>
      </c>
    </row>
    <row r="346" spans="1:9" x14ac:dyDescent="0.3">
      <c r="A346" s="22">
        <v>345</v>
      </c>
      <c r="B346" s="22" t="s">
        <v>357</v>
      </c>
      <c r="C346" s="22"/>
      <c r="D346" s="22" t="s">
        <v>23</v>
      </c>
      <c r="E346" s="22" t="s">
        <v>42</v>
      </c>
      <c r="F346" s="22">
        <v>104</v>
      </c>
      <c r="G346" s="22">
        <v>105</v>
      </c>
      <c r="H346" s="22">
        <v>8.7999999999999995E-2</v>
      </c>
      <c r="I346" s="22">
        <v>0.61</v>
      </c>
    </row>
    <row r="347" spans="1:9" x14ac:dyDescent="0.3">
      <c r="A347" s="22">
        <v>346</v>
      </c>
      <c r="B347" s="22" t="s">
        <v>358</v>
      </c>
      <c r="C347" s="22"/>
      <c r="D347" s="22" t="s">
        <v>23</v>
      </c>
      <c r="E347" s="22" t="s">
        <v>42</v>
      </c>
      <c r="F347" s="22">
        <v>105</v>
      </c>
      <c r="G347" s="22">
        <v>106</v>
      </c>
      <c r="H347" s="22">
        <v>8.7999999999999995E-2</v>
      </c>
      <c r="I347" s="22">
        <v>0.61</v>
      </c>
    </row>
    <row r="348" spans="1:9" x14ac:dyDescent="0.3">
      <c r="A348" s="22">
        <v>347</v>
      </c>
      <c r="B348" s="22" t="s">
        <v>359</v>
      </c>
      <c r="C348" s="22"/>
      <c r="D348" s="22" t="s">
        <v>23</v>
      </c>
      <c r="E348" s="22" t="s">
        <v>42</v>
      </c>
      <c r="F348" s="22">
        <v>106</v>
      </c>
      <c r="G348" s="22">
        <v>107</v>
      </c>
      <c r="H348" s="22">
        <v>8.7999999999999995E-2</v>
      </c>
      <c r="I348" s="22">
        <v>0.61</v>
      </c>
    </row>
    <row r="349" spans="1:9" x14ac:dyDescent="0.3">
      <c r="A349" s="22">
        <v>348</v>
      </c>
      <c r="B349" s="22" t="s">
        <v>360</v>
      </c>
      <c r="C349" s="22"/>
      <c r="D349" s="22" t="s">
        <v>23</v>
      </c>
      <c r="E349" s="22" t="s">
        <v>42</v>
      </c>
      <c r="F349" s="22">
        <v>107</v>
      </c>
      <c r="G349" s="22">
        <v>108</v>
      </c>
      <c r="H349" s="22">
        <v>8.7999999999999995E-2</v>
      </c>
      <c r="I349" s="22">
        <v>0.61</v>
      </c>
    </row>
    <row r="350" spans="1:9" x14ac:dyDescent="0.3">
      <c r="A350" s="22">
        <v>349</v>
      </c>
      <c r="B350" s="22" t="s">
        <v>361</v>
      </c>
      <c r="C350" s="22"/>
      <c r="D350" s="22" t="s">
        <v>23</v>
      </c>
      <c r="E350" s="22" t="s">
        <v>42</v>
      </c>
      <c r="F350" s="22">
        <v>109</v>
      </c>
      <c r="G350" s="22">
        <v>110</v>
      </c>
      <c r="H350" s="22">
        <v>8.7999999999999995E-2</v>
      </c>
      <c r="I350" s="22">
        <v>0.61</v>
      </c>
    </row>
    <row r="351" spans="1:9" x14ac:dyDescent="0.3">
      <c r="A351" s="22">
        <v>350</v>
      </c>
      <c r="B351" s="22" t="s">
        <v>362</v>
      </c>
      <c r="C351" s="22"/>
      <c r="D351" s="22" t="s">
        <v>23</v>
      </c>
      <c r="E351" s="22" t="s">
        <v>42</v>
      </c>
      <c r="F351" s="22">
        <v>110</v>
      </c>
      <c r="G351" s="22">
        <v>111</v>
      </c>
      <c r="H351" s="22">
        <v>8.7999999999999995E-2</v>
      </c>
      <c r="I351" s="22">
        <v>0.61</v>
      </c>
    </row>
    <row r="352" spans="1:9" x14ac:dyDescent="0.3">
      <c r="A352" s="22">
        <v>351</v>
      </c>
      <c r="B352" s="22" t="s">
        <v>363</v>
      </c>
      <c r="C352" s="22"/>
      <c r="D352" s="22" t="s">
        <v>23</v>
      </c>
      <c r="E352" s="22" t="s">
        <v>42</v>
      </c>
      <c r="F352" s="22">
        <v>111</v>
      </c>
      <c r="G352" s="22">
        <v>112</v>
      </c>
      <c r="H352" s="22">
        <v>8.7999999999999995E-2</v>
      </c>
      <c r="I352" s="22">
        <v>0.61</v>
      </c>
    </row>
    <row r="353" spans="1:9" x14ac:dyDescent="0.3">
      <c r="A353" s="22">
        <v>352</v>
      </c>
      <c r="B353" s="22" t="s">
        <v>364</v>
      </c>
      <c r="C353" s="22"/>
      <c r="D353" s="22" t="s">
        <v>23</v>
      </c>
      <c r="E353" s="22" t="s">
        <v>42</v>
      </c>
      <c r="F353" s="22">
        <v>112</v>
      </c>
      <c r="G353" s="22">
        <v>113</v>
      </c>
      <c r="H353" s="22">
        <v>8.7999999999999995E-2</v>
      </c>
      <c r="I353" s="22">
        <v>0.61</v>
      </c>
    </row>
    <row r="354" spans="1:9" x14ac:dyDescent="0.3">
      <c r="A354" s="22">
        <v>353</v>
      </c>
      <c r="B354" s="22" t="s">
        <v>365</v>
      </c>
      <c r="C354" s="22"/>
      <c r="D354" s="22" t="s">
        <v>23</v>
      </c>
      <c r="E354" s="22" t="s">
        <v>42</v>
      </c>
      <c r="F354" s="22">
        <v>113</v>
      </c>
      <c r="G354" s="22">
        <v>114</v>
      </c>
      <c r="H354" s="22">
        <v>8.7999999999999995E-2</v>
      </c>
      <c r="I354" s="22">
        <v>0.61</v>
      </c>
    </row>
    <row r="355" spans="1:9" x14ac:dyDescent="0.3">
      <c r="A355" s="22">
        <v>354</v>
      </c>
      <c r="B355" s="22" t="s">
        <v>366</v>
      </c>
      <c r="C355" s="22"/>
      <c r="D355" s="22" t="s">
        <v>23</v>
      </c>
      <c r="E355" s="22" t="s">
        <v>42</v>
      </c>
      <c r="F355" s="22">
        <v>114</v>
      </c>
      <c r="G355" s="22">
        <v>115</v>
      </c>
      <c r="H355" s="22">
        <v>8.7999999999999995E-2</v>
      </c>
      <c r="I355" s="22">
        <v>0.61</v>
      </c>
    </row>
    <row r="356" spans="1:9" x14ac:dyDescent="0.3">
      <c r="A356" s="22">
        <v>355</v>
      </c>
      <c r="B356" s="22" t="s">
        <v>367</v>
      </c>
      <c r="C356" s="22"/>
      <c r="D356" s="22" t="s">
        <v>23</v>
      </c>
      <c r="E356" s="22" t="s">
        <v>42</v>
      </c>
      <c r="F356" s="22">
        <v>115</v>
      </c>
      <c r="G356" s="22">
        <v>116</v>
      </c>
      <c r="H356" s="22">
        <v>8.7999999999999995E-2</v>
      </c>
      <c r="I356" s="22">
        <v>0.61</v>
      </c>
    </row>
    <row r="357" spans="1:9" x14ac:dyDescent="0.3">
      <c r="A357" s="22">
        <v>356</v>
      </c>
      <c r="B357" s="22" t="s">
        <v>368</v>
      </c>
      <c r="C357" s="22"/>
      <c r="D357" s="22" t="s">
        <v>23</v>
      </c>
      <c r="E357" s="22" t="s">
        <v>42</v>
      </c>
      <c r="F357" s="22">
        <v>116</v>
      </c>
      <c r="G357" s="22">
        <v>117</v>
      </c>
      <c r="H357" s="22">
        <v>8.7999999999999995E-2</v>
      </c>
      <c r="I357" s="22">
        <v>0.61</v>
      </c>
    </row>
    <row r="358" spans="1:9" x14ac:dyDescent="0.3">
      <c r="A358" s="22">
        <v>357</v>
      </c>
      <c r="B358" s="22" t="s">
        <v>369</v>
      </c>
      <c r="C358" s="22"/>
      <c r="D358" s="22" t="s">
        <v>23</v>
      </c>
      <c r="E358" s="22" t="s">
        <v>42</v>
      </c>
      <c r="F358" s="22">
        <v>127</v>
      </c>
      <c r="G358" s="22">
        <v>128</v>
      </c>
      <c r="H358" s="22">
        <v>8.7999999999999995E-2</v>
      </c>
      <c r="I358" s="22">
        <v>0.61</v>
      </c>
    </row>
    <row r="359" spans="1:9" x14ac:dyDescent="0.3">
      <c r="A359" s="22">
        <v>358</v>
      </c>
      <c r="B359" s="22" t="s">
        <v>370</v>
      </c>
      <c r="C359" s="22"/>
      <c r="D359" s="22" t="s">
        <v>23</v>
      </c>
      <c r="E359" s="22" t="s">
        <v>42</v>
      </c>
      <c r="F359" s="22">
        <v>128</v>
      </c>
      <c r="G359" s="22">
        <v>129</v>
      </c>
      <c r="H359" s="22">
        <v>8.7999999999999995E-2</v>
      </c>
      <c r="I359" s="22">
        <v>0.61</v>
      </c>
    </row>
    <row r="360" spans="1:9" x14ac:dyDescent="0.3">
      <c r="A360" s="22">
        <v>359</v>
      </c>
      <c r="B360" s="22" t="s">
        <v>371</v>
      </c>
      <c r="C360" s="22"/>
      <c r="D360" s="22" t="s">
        <v>23</v>
      </c>
      <c r="E360" s="22" t="s">
        <v>42</v>
      </c>
      <c r="F360" s="22">
        <v>129</v>
      </c>
      <c r="G360" s="22">
        <v>130</v>
      </c>
      <c r="H360" s="22">
        <v>8.7999999999999995E-2</v>
      </c>
      <c r="I360" s="22">
        <v>0.61</v>
      </c>
    </row>
    <row r="361" spans="1:9" x14ac:dyDescent="0.3">
      <c r="A361" s="22">
        <v>360</v>
      </c>
      <c r="B361" s="22" t="s">
        <v>372</v>
      </c>
      <c r="C361" s="22"/>
      <c r="D361" s="22" t="s">
        <v>23</v>
      </c>
      <c r="E361" s="22" t="s">
        <v>42</v>
      </c>
      <c r="F361" s="22">
        <v>130</v>
      </c>
      <c r="G361" s="22">
        <v>131</v>
      </c>
      <c r="H361" s="22">
        <v>8.7999999999999995E-2</v>
      </c>
      <c r="I361" s="22">
        <v>0.61</v>
      </c>
    </row>
    <row r="362" spans="1:9" x14ac:dyDescent="0.3">
      <c r="A362" s="22">
        <v>361</v>
      </c>
      <c r="B362" s="22" t="s">
        <v>373</v>
      </c>
      <c r="C362" s="22"/>
      <c r="D362" s="22" t="s">
        <v>23</v>
      </c>
      <c r="E362" s="22" t="s">
        <v>42</v>
      </c>
      <c r="F362" s="22">
        <v>131</v>
      </c>
      <c r="G362" s="22">
        <v>132</v>
      </c>
      <c r="H362" s="22">
        <v>8.7999999999999995E-2</v>
      </c>
      <c r="I362" s="22">
        <v>0.61</v>
      </c>
    </row>
    <row r="363" spans="1:9" x14ac:dyDescent="0.3">
      <c r="A363" s="22">
        <v>362</v>
      </c>
      <c r="B363" s="22" t="s">
        <v>374</v>
      </c>
      <c r="C363" s="22"/>
      <c r="D363" s="22" t="s">
        <v>23</v>
      </c>
      <c r="E363" s="22" t="s">
        <v>42</v>
      </c>
      <c r="F363" s="22">
        <v>132</v>
      </c>
      <c r="G363" s="22">
        <v>133</v>
      </c>
      <c r="H363" s="22">
        <v>8.7999999999999995E-2</v>
      </c>
      <c r="I363" s="22">
        <v>0.61</v>
      </c>
    </row>
    <row r="364" spans="1:9" x14ac:dyDescent="0.3">
      <c r="A364" s="22">
        <v>363</v>
      </c>
      <c r="B364" s="22" t="s">
        <v>375</v>
      </c>
      <c r="C364" s="22"/>
      <c r="D364" s="22" t="s">
        <v>23</v>
      </c>
      <c r="E364" s="22" t="s">
        <v>42</v>
      </c>
      <c r="F364" s="22">
        <v>133</v>
      </c>
      <c r="G364" s="22">
        <v>134</v>
      </c>
      <c r="H364" s="22">
        <v>8.7999999999999995E-2</v>
      </c>
      <c r="I364" s="22">
        <v>0.61</v>
      </c>
    </row>
    <row r="365" spans="1:9" x14ac:dyDescent="0.3">
      <c r="A365" s="22">
        <v>364</v>
      </c>
      <c r="B365" s="22" t="s">
        <v>376</v>
      </c>
      <c r="C365" s="22"/>
      <c r="D365" s="22" t="s">
        <v>23</v>
      </c>
      <c r="E365" s="22" t="s">
        <v>42</v>
      </c>
      <c r="F365" s="22">
        <v>134</v>
      </c>
      <c r="G365" s="22">
        <v>135</v>
      </c>
      <c r="H365" s="22">
        <v>8.7999999999999995E-2</v>
      </c>
      <c r="I365" s="22">
        <v>0.61</v>
      </c>
    </row>
    <row r="366" spans="1:9" x14ac:dyDescent="0.3">
      <c r="A366" s="22">
        <v>365</v>
      </c>
      <c r="B366" s="22" t="s">
        <v>377</v>
      </c>
      <c r="C366" s="22"/>
      <c r="D366" s="22" t="s">
        <v>23</v>
      </c>
      <c r="E366" s="22" t="s">
        <v>42</v>
      </c>
      <c r="F366" s="22">
        <v>136</v>
      </c>
      <c r="G366" s="22">
        <v>137</v>
      </c>
      <c r="H366" s="22">
        <v>8.7999999999999995E-2</v>
      </c>
      <c r="I366" s="22">
        <v>0.61</v>
      </c>
    </row>
    <row r="367" spans="1:9" x14ac:dyDescent="0.3">
      <c r="A367" s="22">
        <v>366</v>
      </c>
      <c r="B367" s="22" t="s">
        <v>378</v>
      </c>
      <c r="C367" s="22"/>
      <c r="D367" s="22" t="s">
        <v>23</v>
      </c>
      <c r="E367" s="22" t="s">
        <v>42</v>
      </c>
      <c r="F367" s="22">
        <v>137</v>
      </c>
      <c r="G367" s="22">
        <v>138</v>
      </c>
      <c r="H367" s="22">
        <v>8.7999999999999995E-2</v>
      </c>
      <c r="I367" s="22">
        <v>0.61</v>
      </c>
    </row>
    <row r="368" spans="1:9" x14ac:dyDescent="0.3">
      <c r="A368" s="22">
        <v>367</v>
      </c>
      <c r="B368" s="22" t="s">
        <v>379</v>
      </c>
      <c r="C368" s="22"/>
      <c r="D368" s="22" t="s">
        <v>23</v>
      </c>
      <c r="E368" s="22" t="s">
        <v>42</v>
      </c>
      <c r="F368" s="22">
        <v>138</v>
      </c>
      <c r="G368" s="22">
        <v>139</v>
      </c>
      <c r="H368" s="22">
        <v>8.7999999999999995E-2</v>
      </c>
      <c r="I368" s="22">
        <v>0.61</v>
      </c>
    </row>
    <row r="369" spans="1:9" x14ac:dyDescent="0.3">
      <c r="A369" s="22">
        <v>368</v>
      </c>
      <c r="B369" s="22" t="s">
        <v>380</v>
      </c>
      <c r="C369" s="22"/>
      <c r="D369" s="22" t="s">
        <v>23</v>
      </c>
      <c r="E369" s="22" t="s">
        <v>42</v>
      </c>
      <c r="F369" s="22">
        <v>139</v>
      </c>
      <c r="G369" s="22">
        <v>140</v>
      </c>
      <c r="H369" s="22">
        <v>8.7999999999999995E-2</v>
      </c>
      <c r="I369" s="22">
        <v>0.61</v>
      </c>
    </row>
    <row r="370" spans="1:9" x14ac:dyDescent="0.3">
      <c r="A370" s="22">
        <v>369</v>
      </c>
      <c r="B370" s="22" t="s">
        <v>381</v>
      </c>
      <c r="C370" s="22"/>
      <c r="D370" s="22" t="s">
        <v>23</v>
      </c>
      <c r="E370" s="22" t="s">
        <v>42</v>
      </c>
      <c r="F370" s="22">
        <v>140</v>
      </c>
      <c r="G370" s="22">
        <v>141</v>
      </c>
      <c r="H370" s="22">
        <v>8.7999999999999995E-2</v>
      </c>
      <c r="I370" s="22">
        <v>0.61</v>
      </c>
    </row>
    <row r="371" spans="1:9" x14ac:dyDescent="0.3">
      <c r="A371" s="22">
        <v>370</v>
      </c>
      <c r="B371" s="22" t="s">
        <v>382</v>
      </c>
      <c r="C371" s="22"/>
      <c r="D371" s="22" t="s">
        <v>23</v>
      </c>
      <c r="E371" s="22" t="s">
        <v>42</v>
      </c>
      <c r="F371" s="22">
        <v>141</v>
      </c>
      <c r="G371" s="22">
        <v>142</v>
      </c>
      <c r="H371" s="22">
        <v>8.7999999999999995E-2</v>
      </c>
      <c r="I371" s="22">
        <v>0.61</v>
      </c>
    </row>
    <row r="372" spans="1:9" x14ac:dyDescent="0.3">
      <c r="A372" s="22">
        <v>371</v>
      </c>
      <c r="B372" s="22" t="s">
        <v>383</v>
      </c>
      <c r="C372" s="22"/>
      <c r="D372" s="22" t="s">
        <v>23</v>
      </c>
      <c r="E372" s="22" t="s">
        <v>42</v>
      </c>
      <c r="F372" s="22">
        <v>142</v>
      </c>
      <c r="G372" s="22">
        <v>143</v>
      </c>
      <c r="H372" s="22">
        <v>8.7999999999999995E-2</v>
      </c>
      <c r="I372" s="22">
        <v>0.61</v>
      </c>
    </row>
    <row r="373" spans="1:9" x14ac:dyDescent="0.3">
      <c r="A373" s="22">
        <v>372</v>
      </c>
      <c r="B373" s="22" t="s">
        <v>384</v>
      </c>
      <c r="C373" s="22"/>
      <c r="D373" s="22" t="s">
        <v>23</v>
      </c>
      <c r="E373" s="22" t="s">
        <v>42</v>
      </c>
      <c r="F373" s="22">
        <v>143</v>
      </c>
      <c r="G373" s="22">
        <v>144</v>
      </c>
      <c r="H373" s="22">
        <v>8.7999999999999995E-2</v>
      </c>
      <c r="I373" s="22">
        <v>0.61</v>
      </c>
    </row>
    <row r="374" spans="1:9" x14ac:dyDescent="0.3">
      <c r="A374" s="22">
        <v>373</v>
      </c>
      <c r="B374" s="22" t="s">
        <v>385</v>
      </c>
      <c r="C374" s="22"/>
      <c r="D374" s="22" t="s">
        <v>23</v>
      </c>
      <c r="E374" s="22" t="s">
        <v>42</v>
      </c>
      <c r="F374" s="22">
        <v>145</v>
      </c>
      <c r="G374" s="22">
        <v>146</v>
      </c>
      <c r="H374" s="22">
        <v>8.7999999999999995E-2</v>
      </c>
      <c r="I374" s="22">
        <v>0.61</v>
      </c>
    </row>
    <row r="375" spans="1:9" x14ac:dyDescent="0.3">
      <c r="A375" s="22">
        <v>374</v>
      </c>
      <c r="B375" s="22" t="s">
        <v>386</v>
      </c>
      <c r="C375" s="22"/>
      <c r="D375" s="22" t="s">
        <v>23</v>
      </c>
      <c r="E375" s="22" t="s">
        <v>42</v>
      </c>
      <c r="F375" s="22">
        <v>146</v>
      </c>
      <c r="G375" s="22">
        <v>147</v>
      </c>
      <c r="H375" s="22">
        <v>8.7999999999999995E-2</v>
      </c>
      <c r="I375" s="22">
        <v>0.61</v>
      </c>
    </row>
    <row r="376" spans="1:9" x14ac:dyDescent="0.3">
      <c r="A376" s="22">
        <v>375</v>
      </c>
      <c r="B376" s="22" t="s">
        <v>387</v>
      </c>
      <c r="C376" s="22"/>
      <c r="D376" s="22" t="s">
        <v>23</v>
      </c>
      <c r="E376" s="22" t="s">
        <v>42</v>
      </c>
      <c r="F376" s="22">
        <v>147</v>
      </c>
      <c r="G376" s="22">
        <v>148</v>
      </c>
      <c r="H376" s="22">
        <v>8.7999999999999995E-2</v>
      </c>
      <c r="I376" s="22">
        <v>0.61</v>
      </c>
    </row>
    <row r="377" spans="1:9" x14ac:dyDescent="0.3">
      <c r="A377" s="22">
        <v>376</v>
      </c>
      <c r="B377" s="22" t="s">
        <v>388</v>
      </c>
      <c r="C377" s="22"/>
      <c r="D377" s="22" t="s">
        <v>23</v>
      </c>
      <c r="E377" s="22" t="s">
        <v>42</v>
      </c>
      <c r="F377" s="22">
        <v>148</v>
      </c>
      <c r="G377" s="22">
        <v>149</v>
      </c>
      <c r="H377" s="22">
        <v>8.7999999999999995E-2</v>
      </c>
      <c r="I377" s="22">
        <v>0.61</v>
      </c>
    </row>
    <row r="378" spans="1:9" x14ac:dyDescent="0.3">
      <c r="A378" s="22">
        <v>377</v>
      </c>
      <c r="B378" s="22" t="s">
        <v>389</v>
      </c>
      <c r="C378" s="22"/>
      <c r="D378" s="22" t="s">
        <v>23</v>
      </c>
      <c r="E378" s="22" t="s">
        <v>42</v>
      </c>
      <c r="F378" s="22">
        <v>149</v>
      </c>
      <c r="G378" s="22">
        <v>150</v>
      </c>
      <c r="H378" s="22">
        <v>8.7999999999999995E-2</v>
      </c>
      <c r="I378" s="22">
        <v>0.61</v>
      </c>
    </row>
    <row r="379" spans="1:9" x14ac:dyDescent="0.3">
      <c r="A379" s="22">
        <v>378</v>
      </c>
      <c r="B379" s="22" t="s">
        <v>390</v>
      </c>
      <c r="C379" s="22"/>
      <c r="D379" s="22" t="s">
        <v>23</v>
      </c>
      <c r="E379" s="22" t="s">
        <v>42</v>
      </c>
      <c r="F379" s="22">
        <v>150</v>
      </c>
      <c r="G379" s="22">
        <v>151</v>
      </c>
      <c r="H379" s="22">
        <v>8.7999999999999995E-2</v>
      </c>
      <c r="I379" s="22">
        <v>0.61</v>
      </c>
    </row>
    <row r="380" spans="1:9" x14ac:dyDescent="0.3">
      <c r="A380" s="22">
        <v>379</v>
      </c>
      <c r="B380" s="22" t="s">
        <v>391</v>
      </c>
      <c r="C380" s="22"/>
      <c r="D380" s="22" t="s">
        <v>23</v>
      </c>
      <c r="E380" s="22" t="s">
        <v>42</v>
      </c>
      <c r="F380" s="22">
        <v>151</v>
      </c>
      <c r="G380" s="22">
        <v>152</v>
      </c>
      <c r="H380" s="22">
        <v>8.7999999999999995E-2</v>
      </c>
      <c r="I380" s="22">
        <v>0.61</v>
      </c>
    </row>
    <row r="381" spans="1:9" x14ac:dyDescent="0.3">
      <c r="A381" s="22">
        <v>380</v>
      </c>
      <c r="B381" s="22" t="s">
        <v>392</v>
      </c>
      <c r="C381" s="22"/>
      <c r="D381" s="22" t="s">
        <v>23</v>
      </c>
      <c r="E381" s="22" t="s">
        <v>42</v>
      </c>
      <c r="F381" s="22">
        <v>152</v>
      </c>
      <c r="G381" s="22">
        <v>153</v>
      </c>
      <c r="H381" s="22">
        <v>8.7999999999999995E-2</v>
      </c>
      <c r="I381" s="22">
        <v>0.61</v>
      </c>
    </row>
    <row r="382" spans="1:9" x14ac:dyDescent="0.3">
      <c r="A382" s="22">
        <v>381</v>
      </c>
      <c r="B382" s="22" t="s">
        <v>393</v>
      </c>
      <c r="C382" s="22"/>
      <c r="D382" s="22" t="s">
        <v>23</v>
      </c>
      <c r="E382" s="22" t="s">
        <v>42</v>
      </c>
      <c r="F382" s="22">
        <v>154</v>
      </c>
      <c r="G382" s="22">
        <v>155</v>
      </c>
      <c r="H382" s="22">
        <v>8.7999999999999995E-2</v>
      </c>
      <c r="I382" s="22">
        <v>0.61</v>
      </c>
    </row>
    <row r="383" spans="1:9" x14ac:dyDescent="0.3">
      <c r="A383" s="22">
        <v>382</v>
      </c>
      <c r="B383" s="22" t="s">
        <v>394</v>
      </c>
      <c r="C383" s="22"/>
      <c r="D383" s="22" t="s">
        <v>23</v>
      </c>
      <c r="E383" s="22" t="s">
        <v>42</v>
      </c>
      <c r="F383" s="22">
        <v>155</v>
      </c>
      <c r="G383" s="22">
        <v>156</v>
      </c>
      <c r="H383" s="22">
        <v>8.7999999999999995E-2</v>
      </c>
      <c r="I383" s="22">
        <v>0.61</v>
      </c>
    </row>
    <row r="384" spans="1:9" x14ac:dyDescent="0.3">
      <c r="A384" s="22">
        <v>383</v>
      </c>
      <c r="B384" s="22" t="s">
        <v>395</v>
      </c>
      <c r="C384" s="22"/>
      <c r="D384" s="22" t="s">
        <v>23</v>
      </c>
      <c r="E384" s="22" t="s">
        <v>42</v>
      </c>
      <c r="F384" s="22">
        <v>156</v>
      </c>
      <c r="G384" s="22">
        <v>157</v>
      </c>
      <c r="H384" s="22">
        <v>8.7999999999999995E-2</v>
      </c>
      <c r="I384" s="22">
        <v>0.61</v>
      </c>
    </row>
    <row r="385" spans="1:9" x14ac:dyDescent="0.3">
      <c r="A385" s="22">
        <v>384</v>
      </c>
      <c r="B385" s="22" t="s">
        <v>396</v>
      </c>
      <c r="C385" s="22"/>
      <c r="D385" s="22" t="s">
        <v>23</v>
      </c>
      <c r="E385" s="22" t="s">
        <v>42</v>
      </c>
      <c r="F385" s="22">
        <v>157</v>
      </c>
      <c r="G385" s="22">
        <v>158</v>
      </c>
      <c r="H385" s="22">
        <v>8.7999999999999995E-2</v>
      </c>
      <c r="I385" s="22">
        <v>0.61</v>
      </c>
    </row>
    <row r="386" spans="1:9" x14ac:dyDescent="0.3">
      <c r="A386" s="22">
        <v>385</v>
      </c>
      <c r="B386" s="22" t="s">
        <v>397</v>
      </c>
      <c r="C386" s="22"/>
      <c r="D386" s="22" t="s">
        <v>23</v>
      </c>
      <c r="E386" s="22" t="s">
        <v>42</v>
      </c>
      <c r="F386" s="22">
        <v>158</v>
      </c>
      <c r="G386" s="22">
        <v>159</v>
      </c>
      <c r="H386" s="22">
        <v>8.7999999999999995E-2</v>
      </c>
      <c r="I386" s="22">
        <v>0.61</v>
      </c>
    </row>
    <row r="387" spans="1:9" x14ac:dyDescent="0.3">
      <c r="A387" s="22">
        <v>386</v>
      </c>
      <c r="B387" s="22" t="s">
        <v>398</v>
      </c>
      <c r="C387" s="22"/>
      <c r="D387" s="22" t="s">
        <v>23</v>
      </c>
      <c r="E387" s="22" t="s">
        <v>42</v>
      </c>
      <c r="F387" s="22">
        <v>159</v>
      </c>
      <c r="G387" s="22">
        <v>160</v>
      </c>
      <c r="H387" s="22">
        <v>8.7999999999999995E-2</v>
      </c>
      <c r="I387" s="22">
        <v>0.61</v>
      </c>
    </row>
    <row r="388" spans="1:9" x14ac:dyDescent="0.3">
      <c r="A388" s="22">
        <v>387</v>
      </c>
      <c r="B388" s="22" t="s">
        <v>399</v>
      </c>
      <c r="C388" s="22"/>
      <c r="D388" s="22" t="s">
        <v>23</v>
      </c>
      <c r="E388" s="22" t="s">
        <v>42</v>
      </c>
      <c r="F388" s="22">
        <v>160</v>
      </c>
      <c r="G388" s="22">
        <v>161</v>
      </c>
      <c r="H388" s="22">
        <v>8.7999999999999995E-2</v>
      </c>
      <c r="I388" s="22">
        <v>0.61</v>
      </c>
    </row>
    <row r="389" spans="1:9" x14ac:dyDescent="0.3">
      <c r="A389" s="22">
        <v>388</v>
      </c>
      <c r="B389" s="22" t="s">
        <v>400</v>
      </c>
      <c r="C389" s="22"/>
      <c r="D389" s="22" t="s">
        <v>23</v>
      </c>
      <c r="E389" s="22" t="s">
        <v>42</v>
      </c>
      <c r="F389" s="22">
        <v>161</v>
      </c>
      <c r="G389" s="22">
        <v>162</v>
      </c>
      <c r="H389" s="22">
        <v>8.7999999999999995E-2</v>
      </c>
      <c r="I389" s="22">
        <v>0.61</v>
      </c>
    </row>
    <row r="390" spans="1:9" x14ac:dyDescent="0.3">
      <c r="A390" s="22">
        <v>389</v>
      </c>
      <c r="B390" s="22" t="s">
        <v>401</v>
      </c>
      <c r="C390" s="22"/>
      <c r="D390" s="22" t="s">
        <v>23</v>
      </c>
      <c r="E390" s="22" t="s">
        <v>42</v>
      </c>
      <c r="F390" s="22">
        <v>10</v>
      </c>
      <c r="G390" s="22">
        <v>181</v>
      </c>
      <c r="H390" s="22">
        <v>8.7999999999999995E-2</v>
      </c>
      <c r="I390" s="22">
        <v>0.39100000000000001</v>
      </c>
    </row>
    <row r="391" spans="1:9" x14ac:dyDescent="0.3">
      <c r="A391" s="22">
        <v>390</v>
      </c>
      <c r="B391" s="22" t="s">
        <v>402</v>
      </c>
      <c r="C391" s="22"/>
      <c r="D391" s="22" t="s">
        <v>23</v>
      </c>
      <c r="E391" s="22" t="s">
        <v>42</v>
      </c>
      <c r="F391" s="22">
        <v>181</v>
      </c>
      <c r="G391" s="22">
        <v>182</v>
      </c>
      <c r="H391" s="22">
        <v>8.7999999999999995E-2</v>
      </c>
      <c r="I391" s="22">
        <v>0.39100000000000001</v>
      </c>
    </row>
    <row r="392" spans="1:9" x14ac:dyDescent="0.3">
      <c r="A392" s="22">
        <v>391</v>
      </c>
      <c r="B392" s="22" t="s">
        <v>403</v>
      </c>
      <c r="C392" s="22"/>
      <c r="D392" s="22" t="s">
        <v>23</v>
      </c>
      <c r="E392" s="22" t="s">
        <v>42</v>
      </c>
      <c r="F392" s="22">
        <v>182</v>
      </c>
      <c r="G392" s="22">
        <v>183</v>
      </c>
      <c r="H392" s="22">
        <v>8.7999999999999995E-2</v>
      </c>
      <c r="I392" s="22">
        <v>0.39100000000000001</v>
      </c>
    </row>
    <row r="393" spans="1:9" x14ac:dyDescent="0.3">
      <c r="A393" s="22">
        <v>392</v>
      </c>
      <c r="B393" s="22" t="s">
        <v>404</v>
      </c>
      <c r="C393" s="22"/>
      <c r="D393" s="22" t="s">
        <v>23</v>
      </c>
      <c r="E393" s="22" t="s">
        <v>42</v>
      </c>
      <c r="F393" s="22">
        <v>183</v>
      </c>
      <c r="G393" s="22">
        <v>184</v>
      </c>
      <c r="H393" s="22">
        <v>6.5000000000000002E-2</v>
      </c>
      <c r="I393" s="22">
        <v>0.61</v>
      </c>
    </row>
    <row r="394" spans="1:9" x14ac:dyDescent="0.3">
      <c r="A394" s="22">
        <v>393</v>
      </c>
      <c r="B394" s="22" t="s">
        <v>405</v>
      </c>
      <c r="C394" s="22"/>
      <c r="D394" s="22" t="s">
        <v>23</v>
      </c>
      <c r="E394" s="22" t="s">
        <v>42</v>
      </c>
      <c r="F394" s="22">
        <v>184</v>
      </c>
      <c r="G394" s="22">
        <v>185</v>
      </c>
      <c r="H394" s="22">
        <v>6.5000000000000002E-2</v>
      </c>
      <c r="I394" s="22">
        <v>0.61</v>
      </c>
    </row>
    <row r="395" spans="1:9" x14ac:dyDescent="0.3">
      <c r="A395" s="22">
        <v>394</v>
      </c>
      <c r="B395" s="22" t="s">
        <v>406</v>
      </c>
      <c r="C395" s="22"/>
      <c r="D395" s="22" t="s">
        <v>23</v>
      </c>
      <c r="E395" s="22" t="s">
        <v>42</v>
      </c>
      <c r="F395" s="22">
        <v>185</v>
      </c>
      <c r="G395" s="22">
        <v>186</v>
      </c>
      <c r="H395" s="22">
        <v>6.5000000000000002E-2</v>
      </c>
      <c r="I395" s="22">
        <v>0.61</v>
      </c>
    </row>
    <row r="396" spans="1:9" x14ac:dyDescent="0.3">
      <c r="A396" s="22">
        <v>395</v>
      </c>
      <c r="B396" s="22" t="s">
        <v>407</v>
      </c>
      <c r="C396" s="22"/>
      <c r="D396" s="22" t="s">
        <v>23</v>
      </c>
      <c r="E396" s="22" t="s">
        <v>42</v>
      </c>
      <c r="F396" s="22">
        <v>186</v>
      </c>
      <c r="G396" s="22">
        <v>187</v>
      </c>
      <c r="H396" s="22">
        <v>6.5000000000000002E-2</v>
      </c>
      <c r="I396" s="22">
        <v>0.61</v>
      </c>
    </row>
    <row r="397" spans="1:9" x14ac:dyDescent="0.3">
      <c r="A397" s="22">
        <v>396</v>
      </c>
      <c r="B397" s="22" t="s">
        <v>408</v>
      </c>
      <c r="C397" s="22"/>
      <c r="D397" s="22" t="s">
        <v>23</v>
      </c>
      <c r="E397" s="22" t="s">
        <v>42</v>
      </c>
      <c r="F397" s="22">
        <v>187</v>
      </c>
      <c r="G397" s="22">
        <v>188</v>
      </c>
      <c r="H397" s="22">
        <v>8.7999999999999995E-2</v>
      </c>
      <c r="I397" s="22">
        <v>0.39100000000000001</v>
      </c>
    </row>
    <row r="398" spans="1:9" x14ac:dyDescent="0.3">
      <c r="A398" s="22">
        <v>397</v>
      </c>
      <c r="B398" s="22" t="s">
        <v>409</v>
      </c>
      <c r="C398" s="22"/>
      <c r="D398" s="22" t="s">
        <v>23</v>
      </c>
      <c r="E398" s="22" t="s">
        <v>42</v>
      </c>
      <c r="F398" s="22">
        <v>188</v>
      </c>
      <c r="G398" s="22">
        <v>189</v>
      </c>
      <c r="H398" s="22">
        <v>8.7999999999999995E-2</v>
      </c>
      <c r="I398" s="22">
        <v>0.39100000000000001</v>
      </c>
    </row>
    <row r="399" spans="1:9" x14ac:dyDescent="0.3">
      <c r="A399" s="22">
        <v>398</v>
      </c>
      <c r="B399" s="22" t="s">
        <v>410</v>
      </c>
      <c r="C399" s="22"/>
      <c r="D399" s="22" t="s">
        <v>23</v>
      </c>
      <c r="E399" s="22" t="s">
        <v>42</v>
      </c>
      <c r="F399" s="22">
        <v>189</v>
      </c>
      <c r="G399" s="22">
        <v>154</v>
      </c>
      <c r="H399" s="22">
        <v>8.7999999999999995E-2</v>
      </c>
      <c r="I399" s="22">
        <v>0.39100000000000001</v>
      </c>
    </row>
    <row r="400" spans="1:9" x14ac:dyDescent="0.3">
      <c r="A400" s="22">
        <v>399</v>
      </c>
      <c r="B400" s="22" t="s">
        <v>411</v>
      </c>
      <c r="C400" s="22"/>
      <c r="D400" s="22" t="s">
        <v>23</v>
      </c>
      <c r="E400" s="22" t="s">
        <v>42</v>
      </c>
      <c r="F400" s="22">
        <v>19</v>
      </c>
      <c r="G400" s="22">
        <v>190</v>
      </c>
      <c r="H400" s="22">
        <v>8.7999999999999995E-2</v>
      </c>
      <c r="I400" s="22">
        <v>0.30299999999999999</v>
      </c>
    </row>
    <row r="401" spans="1:9" x14ac:dyDescent="0.3">
      <c r="A401" s="22">
        <v>400</v>
      </c>
      <c r="B401" s="22" t="s">
        <v>412</v>
      </c>
      <c r="C401" s="22"/>
      <c r="D401" s="22" t="s">
        <v>23</v>
      </c>
      <c r="E401" s="22" t="s">
        <v>42</v>
      </c>
      <c r="F401" s="22">
        <v>190</v>
      </c>
      <c r="G401" s="22">
        <v>191</v>
      </c>
      <c r="H401" s="22">
        <v>8.7999999999999995E-2</v>
      </c>
      <c r="I401" s="22">
        <v>0.30299999999999999</v>
      </c>
    </row>
    <row r="402" spans="1:9" x14ac:dyDescent="0.3">
      <c r="A402" s="22">
        <v>401</v>
      </c>
      <c r="B402" s="22" t="s">
        <v>413</v>
      </c>
      <c r="C402" s="22"/>
      <c r="D402" s="22" t="s">
        <v>23</v>
      </c>
      <c r="E402" s="22" t="s">
        <v>42</v>
      </c>
      <c r="F402" s="22">
        <v>191</v>
      </c>
      <c r="G402" s="22">
        <v>192</v>
      </c>
      <c r="H402" s="22">
        <v>8.7999999999999995E-2</v>
      </c>
      <c r="I402" s="22">
        <v>0.30299999999999999</v>
      </c>
    </row>
    <row r="403" spans="1:9" x14ac:dyDescent="0.3">
      <c r="A403" s="22">
        <v>402</v>
      </c>
      <c r="B403" s="22" t="s">
        <v>414</v>
      </c>
      <c r="C403" s="22"/>
      <c r="D403" s="22" t="s">
        <v>23</v>
      </c>
      <c r="E403" s="22" t="s">
        <v>42</v>
      </c>
      <c r="F403" s="22">
        <v>192</v>
      </c>
      <c r="G403" s="22">
        <v>193</v>
      </c>
      <c r="H403" s="22">
        <v>6.5000000000000002E-2</v>
      </c>
      <c r="I403" s="22">
        <v>0.61</v>
      </c>
    </row>
    <row r="404" spans="1:9" x14ac:dyDescent="0.3">
      <c r="A404" s="22">
        <v>403</v>
      </c>
      <c r="B404" s="22" t="s">
        <v>415</v>
      </c>
      <c r="C404" s="22"/>
      <c r="D404" s="22" t="s">
        <v>23</v>
      </c>
      <c r="E404" s="22" t="s">
        <v>42</v>
      </c>
      <c r="F404" s="22">
        <v>193</v>
      </c>
      <c r="G404" s="22">
        <v>194</v>
      </c>
      <c r="H404" s="22">
        <v>6.5000000000000002E-2</v>
      </c>
      <c r="I404" s="22">
        <v>0.61</v>
      </c>
    </row>
    <row r="405" spans="1:9" x14ac:dyDescent="0.3">
      <c r="A405" s="22">
        <v>404</v>
      </c>
      <c r="B405" s="22" t="s">
        <v>416</v>
      </c>
      <c r="C405" s="22"/>
      <c r="D405" s="22" t="s">
        <v>23</v>
      </c>
      <c r="E405" s="22" t="s">
        <v>42</v>
      </c>
      <c r="F405" s="22">
        <v>194</v>
      </c>
      <c r="G405" s="22">
        <v>195</v>
      </c>
      <c r="H405" s="22">
        <v>6.5000000000000002E-2</v>
      </c>
      <c r="I405" s="22">
        <v>0.61</v>
      </c>
    </row>
    <row r="406" spans="1:9" x14ac:dyDescent="0.3">
      <c r="A406" s="22">
        <v>405</v>
      </c>
      <c r="B406" s="22" t="s">
        <v>417</v>
      </c>
      <c r="C406" s="22"/>
      <c r="D406" s="22" t="s">
        <v>23</v>
      </c>
      <c r="E406" s="22" t="s">
        <v>42</v>
      </c>
      <c r="F406" s="22">
        <v>195</v>
      </c>
      <c r="G406" s="22">
        <v>196</v>
      </c>
      <c r="H406" s="22">
        <v>6.5000000000000002E-2</v>
      </c>
      <c r="I406" s="22">
        <v>0.61</v>
      </c>
    </row>
    <row r="407" spans="1:9" x14ac:dyDescent="0.3">
      <c r="A407" s="22">
        <v>406</v>
      </c>
      <c r="B407" s="22" t="s">
        <v>401</v>
      </c>
      <c r="C407" s="22"/>
      <c r="D407" s="22" t="s">
        <v>23</v>
      </c>
      <c r="E407" s="22" t="s">
        <v>42</v>
      </c>
      <c r="F407" s="22">
        <v>196</v>
      </c>
      <c r="G407" s="22">
        <v>197</v>
      </c>
      <c r="H407" s="22">
        <v>8.7999999999999995E-2</v>
      </c>
      <c r="I407" s="22">
        <v>0.30299999999999999</v>
      </c>
    </row>
    <row r="408" spans="1:9" x14ac:dyDescent="0.3">
      <c r="A408" s="22">
        <v>407</v>
      </c>
      <c r="B408" s="22" t="s">
        <v>402</v>
      </c>
      <c r="C408" s="22"/>
      <c r="D408" s="22" t="s">
        <v>23</v>
      </c>
      <c r="E408" s="22" t="s">
        <v>42</v>
      </c>
      <c r="F408" s="22">
        <v>197</v>
      </c>
      <c r="G408" s="22">
        <v>198</v>
      </c>
      <c r="H408" s="22">
        <v>8.7999999999999995E-2</v>
      </c>
      <c r="I408" s="22">
        <v>0.30299999999999999</v>
      </c>
    </row>
    <row r="409" spans="1:9" x14ac:dyDescent="0.3">
      <c r="A409" s="22">
        <v>408</v>
      </c>
      <c r="B409" s="22" t="s">
        <v>403</v>
      </c>
      <c r="C409" s="22"/>
      <c r="D409" s="22" t="s">
        <v>23</v>
      </c>
      <c r="E409" s="22" t="s">
        <v>42</v>
      </c>
      <c r="F409" s="22">
        <v>198</v>
      </c>
      <c r="G409" s="22">
        <v>145</v>
      </c>
      <c r="H409" s="22">
        <v>8.7999999999999995E-2</v>
      </c>
      <c r="I409" s="22">
        <v>0.30299999999999999</v>
      </c>
    </row>
    <row r="410" spans="1:9" x14ac:dyDescent="0.3">
      <c r="A410" s="22">
        <v>409</v>
      </c>
      <c r="B410" s="22" t="s">
        <v>404</v>
      </c>
      <c r="C410" s="22"/>
      <c r="D410" s="22" t="s">
        <v>23</v>
      </c>
      <c r="E410" s="22" t="s">
        <v>42</v>
      </c>
      <c r="F410" s="22">
        <v>28</v>
      </c>
      <c r="G410" s="22">
        <v>199</v>
      </c>
      <c r="H410" s="22">
        <v>8.7999999999999995E-2</v>
      </c>
      <c r="I410" s="22">
        <v>0.30299999999999999</v>
      </c>
    </row>
    <row r="411" spans="1:9" x14ac:dyDescent="0.3">
      <c r="A411" s="22">
        <v>410</v>
      </c>
      <c r="B411" s="22" t="s">
        <v>405</v>
      </c>
      <c r="C411" s="22"/>
      <c r="D411" s="22" t="s">
        <v>23</v>
      </c>
      <c r="E411" s="22" t="s">
        <v>42</v>
      </c>
      <c r="F411" s="22">
        <v>199</v>
      </c>
      <c r="G411" s="22">
        <v>200</v>
      </c>
      <c r="H411" s="22">
        <v>8.7999999999999995E-2</v>
      </c>
      <c r="I411" s="22">
        <v>0.30299999999999999</v>
      </c>
    </row>
    <row r="412" spans="1:9" x14ac:dyDescent="0.3">
      <c r="A412" s="22">
        <v>411</v>
      </c>
      <c r="B412" s="22" t="s">
        <v>406</v>
      </c>
      <c r="C412" s="22"/>
      <c r="D412" s="22" t="s">
        <v>23</v>
      </c>
      <c r="E412" s="22" t="s">
        <v>42</v>
      </c>
      <c r="F412" s="22">
        <v>200</v>
      </c>
      <c r="G412" s="22">
        <v>201</v>
      </c>
      <c r="H412" s="22">
        <v>8.7999999999999995E-2</v>
      </c>
      <c r="I412" s="22">
        <v>0.30299999999999999</v>
      </c>
    </row>
    <row r="413" spans="1:9" x14ac:dyDescent="0.3">
      <c r="A413" s="22">
        <v>412</v>
      </c>
      <c r="B413" s="22" t="s">
        <v>414</v>
      </c>
      <c r="C413" s="22"/>
      <c r="D413" s="22" t="s">
        <v>23</v>
      </c>
      <c r="E413" s="22" t="s">
        <v>42</v>
      </c>
      <c r="F413" s="22">
        <v>201</v>
      </c>
      <c r="G413" s="22">
        <v>202</v>
      </c>
      <c r="H413" s="22">
        <v>6.5000000000000002E-2</v>
      </c>
      <c r="I413" s="22">
        <v>0.61</v>
      </c>
    </row>
    <row r="414" spans="1:9" x14ac:dyDescent="0.3">
      <c r="A414" s="22">
        <v>413</v>
      </c>
      <c r="B414" s="22" t="s">
        <v>415</v>
      </c>
      <c r="C414" s="22"/>
      <c r="D414" s="22" t="s">
        <v>23</v>
      </c>
      <c r="E414" s="22" t="s">
        <v>42</v>
      </c>
      <c r="F414" s="22">
        <v>202</v>
      </c>
      <c r="G414" s="22">
        <v>203</v>
      </c>
      <c r="H414" s="22">
        <v>6.5000000000000002E-2</v>
      </c>
      <c r="I414" s="22">
        <v>0.61</v>
      </c>
    </row>
    <row r="415" spans="1:9" x14ac:dyDescent="0.3">
      <c r="A415" s="22">
        <v>414</v>
      </c>
      <c r="B415" s="22" t="s">
        <v>416</v>
      </c>
      <c r="C415" s="22"/>
      <c r="D415" s="22" t="s">
        <v>23</v>
      </c>
      <c r="E415" s="22" t="s">
        <v>42</v>
      </c>
      <c r="F415" s="22">
        <v>203</v>
      </c>
      <c r="G415" s="22">
        <v>204</v>
      </c>
      <c r="H415" s="22">
        <v>6.5000000000000002E-2</v>
      </c>
      <c r="I415" s="22">
        <v>0.61</v>
      </c>
    </row>
    <row r="416" spans="1:9" x14ac:dyDescent="0.3">
      <c r="A416" s="22">
        <v>415</v>
      </c>
      <c r="B416" s="22" t="s">
        <v>417</v>
      </c>
      <c r="C416" s="22"/>
      <c r="D416" s="22" t="s">
        <v>23</v>
      </c>
      <c r="E416" s="22" t="s">
        <v>42</v>
      </c>
      <c r="F416" s="22">
        <v>204</v>
      </c>
      <c r="G416" s="22">
        <v>205</v>
      </c>
      <c r="H416" s="22">
        <v>6.5000000000000002E-2</v>
      </c>
      <c r="I416" s="22">
        <v>0.61</v>
      </c>
    </row>
    <row r="417" spans="1:9" x14ac:dyDescent="0.3">
      <c r="A417" s="22">
        <v>416</v>
      </c>
      <c r="B417" s="22" t="s">
        <v>401</v>
      </c>
      <c r="C417" s="22"/>
      <c r="D417" s="22" t="s">
        <v>23</v>
      </c>
      <c r="E417" s="22" t="s">
        <v>42</v>
      </c>
      <c r="F417" s="22">
        <v>205</v>
      </c>
      <c r="G417" s="22">
        <v>206</v>
      </c>
      <c r="H417" s="22">
        <v>8.7999999999999995E-2</v>
      </c>
      <c r="I417" s="22">
        <v>0.30299999999999999</v>
      </c>
    </row>
    <row r="418" spans="1:9" x14ac:dyDescent="0.3">
      <c r="A418" s="22">
        <v>417</v>
      </c>
      <c r="B418" s="22" t="s">
        <v>402</v>
      </c>
      <c r="C418" s="22"/>
      <c r="D418" s="22" t="s">
        <v>23</v>
      </c>
      <c r="E418" s="22" t="s">
        <v>42</v>
      </c>
      <c r="F418" s="22">
        <v>206</v>
      </c>
      <c r="G418" s="22">
        <v>207</v>
      </c>
      <c r="H418" s="22">
        <v>8.7999999999999995E-2</v>
      </c>
      <c r="I418" s="22">
        <v>0.30299999999999999</v>
      </c>
    </row>
    <row r="419" spans="1:9" x14ac:dyDescent="0.3">
      <c r="A419" s="22">
        <v>418</v>
      </c>
      <c r="B419" s="22" t="s">
        <v>403</v>
      </c>
      <c r="C419" s="22"/>
      <c r="D419" s="22" t="s">
        <v>23</v>
      </c>
      <c r="E419" s="22" t="s">
        <v>42</v>
      </c>
      <c r="F419" s="22">
        <v>207</v>
      </c>
      <c r="G419" s="22">
        <v>136</v>
      </c>
      <c r="H419" s="22">
        <v>8.7999999999999995E-2</v>
      </c>
      <c r="I419" s="22">
        <v>0.30299999999999999</v>
      </c>
    </row>
    <row r="420" spans="1:9" x14ac:dyDescent="0.3">
      <c r="A420" s="22">
        <v>419</v>
      </c>
      <c r="B420" s="22" t="s">
        <v>404</v>
      </c>
      <c r="C420" s="22"/>
      <c r="D420" s="22" t="s">
        <v>23</v>
      </c>
      <c r="E420" s="22" t="s">
        <v>42</v>
      </c>
      <c r="F420" s="22">
        <v>37</v>
      </c>
      <c r="G420" s="22">
        <v>208</v>
      </c>
      <c r="H420" s="22">
        <v>8.7999999999999995E-2</v>
      </c>
      <c r="I420" s="22">
        <v>0.30299999999999999</v>
      </c>
    </row>
    <row r="421" spans="1:9" x14ac:dyDescent="0.3">
      <c r="A421" s="22">
        <v>420</v>
      </c>
      <c r="B421" s="22" t="s">
        <v>405</v>
      </c>
      <c r="C421" s="22"/>
      <c r="D421" s="22" t="s">
        <v>23</v>
      </c>
      <c r="E421" s="22" t="s">
        <v>42</v>
      </c>
      <c r="F421" s="22">
        <v>208</v>
      </c>
      <c r="G421" s="22">
        <v>209</v>
      </c>
      <c r="H421" s="22">
        <v>8.7999999999999995E-2</v>
      </c>
      <c r="I421" s="22">
        <v>0.30299999999999999</v>
      </c>
    </row>
    <row r="422" spans="1:9" x14ac:dyDescent="0.3">
      <c r="A422" s="22">
        <v>421</v>
      </c>
      <c r="B422" s="22" t="s">
        <v>406</v>
      </c>
      <c r="C422" s="22"/>
      <c r="D422" s="22" t="s">
        <v>23</v>
      </c>
      <c r="E422" s="22" t="s">
        <v>42</v>
      </c>
      <c r="F422" s="22">
        <v>209</v>
      </c>
      <c r="G422" s="22">
        <v>210</v>
      </c>
      <c r="H422" s="22">
        <v>8.7999999999999995E-2</v>
      </c>
      <c r="I422" s="22">
        <v>0.30299999999999999</v>
      </c>
    </row>
    <row r="423" spans="1:9" x14ac:dyDescent="0.3">
      <c r="A423" s="22">
        <v>422</v>
      </c>
      <c r="B423" s="22" t="s">
        <v>414</v>
      </c>
      <c r="C423" s="22"/>
      <c r="D423" s="22" t="s">
        <v>23</v>
      </c>
      <c r="E423" s="22" t="s">
        <v>42</v>
      </c>
      <c r="F423" s="22">
        <v>210</v>
      </c>
      <c r="G423" s="22">
        <v>211</v>
      </c>
      <c r="H423" s="22">
        <v>6.5000000000000002E-2</v>
      </c>
      <c r="I423" s="22">
        <v>0.61</v>
      </c>
    </row>
    <row r="424" spans="1:9" x14ac:dyDescent="0.3">
      <c r="A424" s="22">
        <v>423</v>
      </c>
      <c r="B424" s="22" t="s">
        <v>415</v>
      </c>
      <c r="C424" s="22"/>
      <c r="D424" s="22" t="s">
        <v>23</v>
      </c>
      <c r="E424" s="22" t="s">
        <v>42</v>
      </c>
      <c r="F424" s="22">
        <v>211</v>
      </c>
      <c r="G424" s="22">
        <v>212</v>
      </c>
      <c r="H424" s="22">
        <v>6.5000000000000002E-2</v>
      </c>
      <c r="I424" s="22">
        <v>0.61</v>
      </c>
    </row>
    <row r="425" spans="1:9" x14ac:dyDescent="0.3">
      <c r="A425" s="22">
        <v>424</v>
      </c>
      <c r="B425" s="22" t="s">
        <v>416</v>
      </c>
      <c r="C425" s="22"/>
      <c r="D425" s="22" t="s">
        <v>23</v>
      </c>
      <c r="E425" s="22" t="s">
        <v>42</v>
      </c>
      <c r="F425" s="22">
        <v>212</v>
      </c>
      <c r="G425" s="22">
        <v>213</v>
      </c>
      <c r="H425" s="22">
        <v>6.5000000000000002E-2</v>
      </c>
      <c r="I425" s="22">
        <v>0.61</v>
      </c>
    </row>
    <row r="426" spans="1:9" x14ac:dyDescent="0.3">
      <c r="A426" s="22">
        <v>425</v>
      </c>
      <c r="B426" s="22" t="s">
        <v>417</v>
      </c>
      <c r="C426" s="22"/>
      <c r="D426" s="22" t="s">
        <v>23</v>
      </c>
      <c r="E426" s="22" t="s">
        <v>42</v>
      </c>
      <c r="F426" s="22">
        <v>213</v>
      </c>
      <c r="G426" s="22">
        <v>214</v>
      </c>
      <c r="H426" s="22">
        <v>6.5000000000000002E-2</v>
      </c>
      <c r="I426" s="22">
        <v>0.61</v>
      </c>
    </row>
    <row r="427" spans="1:9" x14ac:dyDescent="0.3">
      <c r="A427" s="22">
        <v>426</v>
      </c>
      <c r="B427" s="22" t="s">
        <v>401</v>
      </c>
      <c r="C427" s="22"/>
      <c r="D427" s="22" t="s">
        <v>23</v>
      </c>
      <c r="E427" s="22" t="s">
        <v>42</v>
      </c>
      <c r="F427" s="22">
        <v>214</v>
      </c>
      <c r="G427" s="22">
        <v>215</v>
      </c>
      <c r="H427" s="22">
        <v>8.7999999999999995E-2</v>
      </c>
      <c r="I427" s="22">
        <v>0.30299999999999999</v>
      </c>
    </row>
    <row r="428" spans="1:9" x14ac:dyDescent="0.3">
      <c r="A428" s="22">
        <v>427</v>
      </c>
      <c r="B428" s="22" t="s">
        <v>402</v>
      </c>
      <c r="C428" s="22"/>
      <c r="D428" s="22" t="s">
        <v>23</v>
      </c>
      <c r="E428" s="22" t="s">
        <v>42</v>
      </c>
      <c r="F428" s="22">
        <v>215</v>
      </c>
      <c r="G428" s="22">
        <v>216</v>
      </c>
      <c r="H428" s="22">
        <v>8.7999999999999995E-2</v>
      </c>
      <c r="I428" s="22">
        <v>0.30299999999999999</v>
      </c>
    </row>
    <row r="429" spans="1:9" x14ac:dyDescent="0.3">
      <c r="A429" s="22">
        <v>428</v>
      </c>
      <c r="B429" s="22" t="s">
        <v>403</v>
      </c>
      <c r="C429" s="22"/>
      <c r="D429" s="22" t="s">
        <v>23</v>
      </c>
      <c r="E429" s="22" t="s">
        <v>42</v>
      </c>
      <c r="F429" s="22">
        <v>216</v>
      </c>
      <c r="G429" s="22">
        <v>127</v>
      </c>
      <c r="H429" s="22">
        <v>8.7999999999999995E-2</v>
      </c>
      <c r="I429" s="22">
        <v>0.30299999999999999</v>
      </c>
    </row>
    <row r="430" spans="1:9" x14ac:dyDescent="0.3">
      <c r="A430" s="22">
        <v>429</v>
      </c>
      <c r="B430" s="22" t="s">
        <v>404</v>
      </c>
      <c r="C430" s="22"/>
      <c r="D430" s="22" t="s">
        <v>23</v>
      </c>
      <c r="E430" s="22" t="s">
        <v>42</v>
      </c>
      <c r="F430" s="22">
        <v>18</v>
      </c>
      <c r="G430" s="22">
        <v>226</v>
      </c>
      <c r="H430" s="22">
        <v>8.7999999999999995E-2</v>
      </c>
      <c r="I430" s="22">
        <v>0.39100000000000001</v>
      </c>
    </row>
    <row r="431" spans="1:9" x14ac:dyDescent="0.3">
      <c r="A431" s="22">
        <v>430</v>
      </c>
      <c r="B431" s="22" t="s">
        <v>405</v>
      </c>
      <c r="C431" s="22"/>
      <c r="D431" s="22" t="s">
        <v>23</v>
      </c>
      <c r="E431" s="22" t="s">
        <v>42</v>
      </c>
      <c r="F431" s="22">
        <v>226</v>
      </c>
      <c r="G431" s="22">
        <v>227</v>
      </c>
      <c r="H431" s="22">
        <v>8.7999999999999995E-2</v>
      </c>
      <c r="I431" s="22">
        <v>0.39100000000000001</v>
      </c>
    </row>
    <row r="432" spans="1:9" x14ac:dyDescent="0.3">
      <c r="A432" s="22">
        <v>431</v>
      </c>
      <c r="B432" s="22" t="s">
        <v>406</v>
      </c>
      <c r="C432" s="22"/>
      <c r="D432" s="22" t="s">
        <v>23</v>
      </c>
      <c r="E432" s="22" t="s">
        <v>42</v>
      </c>
      <c r="F432" s="22">
        <v>227</v>
      </c>
      <c r="G432" s="22">
        <v>228</v>
      </c>
      <c r="H432" s="22">
        <v>8.7999999999999995E-2</v>
      </c>
      <c r="I432" s="22">
        <v>0.39100000000000001</v>
      </c>
    </row>
    <row r="433" spans="1:9" x14ac:dyDescent="0.3">
      <c r="A433" s="22">
        <v>432</v>
      </c>
      <c r="B433" s="22" t="s">
        <v>414</v>
      </c>
      <c r="C433" s="22"/>
      <c r="D433" s="22" t="s">
        <v>23</v>
      </c>
      <c r="E433" s="22" t="s">
        <v>42</v>
      </c>
      <c r="F433" s="22">
        <v>228</v>
      </c>
      <c r="G433" s="22">
        <v>229</v>
      </c>
      <c r="H433" s="22">
        <v>6.5000000000000002E-2</v>
      </c>
      <c r="I433" s="22">
        <v>0.61</v>
      </c>
    </row>
    <row r="434" spans="1:9" x14ac:dyDescent="0.3">
      <c r="A434" s="22">
        <v>433</v>
      </c>
      <c r="B434" s="22" t="s">
        <v>415</v>
      </c>
      <c r="C434" s="22"/>
      <c r="D434" s="22" t="s">
        <v>23</v>
      </c>
      <c r="E434" s="22" t="s">
        <v>42</v>
      </c>
      <c r="F434" s="22">
        <v>229</v>
      </c>
      <c r="G434" s="22">
        <v>230</v>
      </c>
      <c r="H434" s="22">
        <v>6.5000000000000002E-2</v>
      </c>
      <c r="I434" s="22">
        <v>0.61</v>
      </c>
    </row>
    <row r="435" spans="1:9" x14ac:dyDescent="0.3">
      <c r="A435" s="22">
        <v>434</v>
      </c>
      <c r="B435" s="22" t="s">
        <v>416</v>
      </c>
      <c r="C435" s="22"/>
      <c r="D435" s="22" t="s">
        <v>23</v>
      </c>
      <c r="E435" s="22" t="s">
        <v>42</v>
      </c>
      <c r="F435" s="22">
        <v>230</v>
      </c>
      <c r="G435" s="22">
        <v>231</v>
      </c>
      <c r="H435" s="22">
        <v>6.5000000000000002E-2</v>
      </c>
      <c r="I435" s="22">
        <v>0.61</v>
      </c>
    </row>
    <row r="436" spans="1:9" x14ac:dyDescent="0.3">
      <c r="A436" s="22">
        <v>435</v>
      </c>
      <c r="B436" s="22" t="s">
        <v>417</v>
      </c>
      <c r="C436" s="22"/>
      <c r="D436" s="22" t="s">
        <v>23</v>
      </c>
      <c r="E436" s="22" t="s">
        <v>42</v>
      </c>
      <c r="F436" s="22">
        <v>231</v>
      </c>
      <c r="G436" s="22">
        <v>232</v>
      </c>
      <c r="H436" s="22">
        <v>6.5000000000000002E-2</v>
      </c>
      <c r="I436" s="22">
        <v>0.61</v>
      </c>
    </row>
    <row r="437" spans="1:9" x14ac:dyDescent="0.3">
      <c r="A437" s="22">
        <v>436</v>
      </c>
      <c r="B437" s="22" t="s">
        <v>401</v>
      </c>
      <c r="C437" s="22"/>
      <c r="D437" s="22" t="s">
        <v>23</v>
      </c>
      <c r="E437" s="22" t="s">
        <v>42</v>
      </c>
      <c r="F437" s="22">
        <v>232</v>
      </c>
      <c r="G437" s="22">
        <v>233</v>
      </c>
      <c r="H437" s="22">
        <v>8.7999999999999995E-2</v>
      </c>
      <c r="I437" s="22">
        <v>0.39100000000000001</v>
      </c>
    </row>
    <row r="438" spans="1:9" x14ac:dyDescent="0.3">
      <c r="A438" s="22">
        <v>437</v>
      </c>
      <c r="B438" s="22" t="s">
        <v>402</v>
      </c>
      <c r="C438" s="22"/>
      <c r="D438" s="22" t="s">
        <v>23</v>
      </c>
      <c r="E438" s="22" t="s">
        <v>42</v>
      </c>
      <c r="F438" s="22">
        <v>233</v>
      </c>
      <c r="G438" s="22">
        <v>234</v>
      </c>
      <c r="H438" s="22">
        <v>8.7999999999999995E-2</v>
      </c>
      <c r="I438" s="22">
        <v>0.39100000000000001</v>
      </c>
    </row>
    <row r="439" spans="1:9" x14ac:dyDescent="0.3">
      <c r="A439" s="22">
        <v>438</v>
      </c>
      <c r="B439" s="22" t="s">
        <v>403</v>
      </c>
      <c r="C439" s="22"/>
      <c r="D439" s="22" t="s">
        <v>23</v>
      </c>
      <c r="E439" s="22" t="s">
        <v>42</v>
      </c>
      <c r="F439" s="22">
        <v>234</v>
      </c>
      <c r="G439" s="22">
        <v>162</v>
      </c>
      <c r="H439" s="22">
        <v>8.7999999999999995E-2</v>
      </c>
      <c r="I439" s="22">
        <v>0.39100000000000001</v>
      </c>
    </row>
    <row r="440" spans="1:9" x14ac:dyDescent="0.3">
      <c r="A440" s="22">
        <v>439</v>
      </c>
      <c r="B440" s="22" t="s">
        <v>404</v>
      </c>
      <c r="C440" s="22"/>
      <c r="D440" s="22" t="s">
        <v>23</v>
      </c>
      <c r="E440" s="22" t="s">
        <v>42</v>
      </c>
      <c r="F440" s="22">
        <v>27</v>
      </c>
      <c r="G440" s="22">
        <v>235</v>
      </c>
      <c r="H440" s="22">
        <v>8.7999999999999995E-2</v>
      </c>
      <c r="I440" s="22">
        <v>0.30299999999999999</v>
      </c>
    </row>
    <row r="441" spans="1:9" x14ac:dyDescent="0.3">
      <c r="A441" s="22">
        <v>440</v>
      </c>
      <c r="B441" s="22" t="s">
        <v>405</v>
      </c>
      <c r="C441" s="22"/>
      <c r="D441" s="22" t="s">
        <v>23</v>
      </c>
      <c r="E441" s="22" t="s">
        <v>42</v>
      </c>
      <c r="F441" s="22">
        <v>235</v>
      </c>
      <c r="G441" s="22">
        <v>236</v>
      </c>
      <c r="H441" s="22">
        <v>8.7999999999999995E-2</v>
      </c>
      <c r="I441" s="22">
        <v>0.30299999999999999</v>
      </c>
    </row>
    <row r="442" spans="1:9" x14ac:dyDescent="0.3">
      <c r="A442" s="22">
        <v>441</v>
      </c>
      <c r="B442" s="22" t="s">
        <v>406</v>
      </c>
      <c r="C442" s="22"/>
      <c r="D442" s="22" t="s">
        <v>23</v>
      </c>
      <c r="E442" s="22" t="s">
        <v>42</v>
      </c>
      <c r="F442" s="22">
        <v>236</v>
      </c>
      <c r="G442" s="22">
        <v>237</v>
      </c>
      <c r="H442" s="22">
        <v>8.7999999999999995E-2</v>
      </c>
      <c r="I442" s="22">
        <v>0.30299999999999999</v>
      </c>
    </row>
    <row r="443" spans="1:9" x14ac:dyDescent="0.3">
      <c r="A443" s="22">
        <v>442</v>
      </c>
      <c r="B443" s="22" t="s">
        <v>414</v>
      </c>
      <c r="C443" s="22"/>
      <c r="D443" s="22" t="s">
        <v>23</v>
      </c>
      <c r="E443" s="22" t="s">
        <v>42</v>
      </c>
      <c r="F443" s="22">
        <v>237</v>
      </c>
      <c r="G443" s="22">
        <v>238</v>
      </c>
      <c r="H443" s="22">
        <v>6.5000000000000002E-2</v>
      </c>
      <c r="I443" s="22">
        <v>0.61</v>
      </c>
    </row>
    <row r="444" spans="1:9" x14ac:dyDescent="0.3">
      <c r="A444" s="22">
        <v>443</v>
      </c>
      <c r="B444" s="22" t="s">
        <v>415</v>
      </c>
      <c r="C444" s="22"/>
      <c r="D444" s="22" t="s">
        <v>23</v>
      </c>
      <c r="E444" s="22" t="s">
        <v>42</v>
      </c>
      <c r="F444" s="22">
        <v>238</v>
      </c>
      <c r="G444" s="22">
        <v>239</v>
      </c>
      <c r="H444" s="22">
        <v>6.5000000000000002E-2</v>
      </c>
      <c r="I444" s="22">
        <v>0.61</v>
      </c>
    </row>
    <row r="445" spans="1:9" x14ac:dyDescent="0.3">
      <c r="A445" s="22">
        <v>444</v>
      </c>
      <c r="B445" s="22" t="s">
        <v>416</v>
      </c>
      <c r="C445" s="22"/>
      <c r="D445" s="22" t="s">
        <v>23</v>
      </c>
      <c r="E445" s="22" t="s">
        <v>42</v>
      </c>
      <c r="F445" s="22">
        <v>239</v>
      </c>
      <c r="G445" s="22">
        <v>240</v>
      </c>
      <c r="H445" s="22">
        <v>6.5000000000000002E-2</v>
      </c>
      <c r="I445" s="22">
        <v>0.61</v>
      </c>
    </row>
    <row r="446" spans="1:9" x14ac:dyDescent="0.3">
      <c r="A446" s="22">
        <v>445</v>
      </c>
      <c r="B446" s="22" t="s">
        <v>417</v>
      </c>
      <c r="C446" s="22"/>
      <c r="D446" s="22" t="s">
        <v>23</v>
      </c>
      <c r="E446" s="22" t="s">
        <v>42</v>
      </c>
      <c r="F446" s="22">
        <v>240</v>
      </c>
      <c r="G446" s="22">
        <v>241</v>
      </c>
      <c r="H446" s="22">
        <v>6.5000000000000002E-2</v>
      </c>
      <c r="I446" s="22">
        <v>0.61</v>
      </c>
    </row>
    <row r="447" spans="1:9" x14ac:dyDescent="0.3">
      <c r="A447" s="22">
        <v>446</v>
      </c>
      <c r="B447" s="22" t="s">
        <v>401</v>
      </c>
      <c r="C447" s="22"/>
      <c r="D447" s="22" t="s">
        <v>23</v>
      </c>
      <c r="E447" s="22" t="s">
        <v>42</v>
      </c>
      <c r="F447" s="22">
        <v>241</v>
      </c>
      <c r="G447" s="22">
        <v>242</v>
      </c>
      <c r="H447" s="22">
        <v>8.7999999999999995E-2</v>
      </c>
      <c r="I447" s="22">
        <v>0.30299999999999999</v>
      </c>
    </row>
    <row r="448" spans="1:9" x14ac:dyDescent="0.3">
      <c r="A448" s="22">
        <v>447</v>
      </c>
      <c r="B448" s="22" t="s">
        <v>402</v>
      </c>
      <c r="C448" s="22"/>
      <c r="D448" s="22" t="s">
        <v>23</v>
      </c>
      <c r="E448" s="22" t="s">
        <v>42</v>
      </c>
      <c r="F448" s="22">
        <v>242</v>
      </c>
      <c r="G448" s="22">
        <v>243</v>
      </c>
      <c r="H448" s="22">
        <v>8.7999999999999995E-2</v>
      </c>
      <c r="I448" s="22">
        <v>0.30299999999999999</v>
      </c>
    </row>
    <row r="449" spans="1:9" x14ac:dyDescent="0.3">
      <c r="A449" s="22">
        <v>448</v>
      </c>
      <c r="B449" s="22" t="s">
        <v>403</v>
      </c>
      <c r="C449" s="22"/>
      <c r="D449" s="22" t="s">
        <v>23</v>
      </c>
      <c r="E449" s="22" t="s">
        <v>42</v>
      </c>
      <c r="F449" s="22">
        <v>243</v>
      </c>
      <c r="G449" s="22">
        <v>153</v>
      </c>
      <c r="H449" s="22">
        <v>8.7999999999999995E-2</v>
      </c>
      <c r="I449" s="22">
        <v>0.30299999999999999</v>
      </c>
    </row>
    <row r="450" spans="1:9" x14ac:dyDescent="0.3">
      <c r="A450" s="22">
        <v>449</v>
      </c>
      <c r="B450" s="22" t="s">
        <v>404</v>
      </c>
      <c r="C450" s="22"/>
      <c r="D450" s="22" t="s">
        <v>23</v>
      </c>
      <c r="E450" s="22" t="s">
        <v>42</v>
      </c>
      <c r="F450" s="22">
        <v>36</v>
      </c>
      <c r="G450" s="22">
        <v>244</v>
      </c>
      <c r="H450" s="22">
        <v>8.7999999999999995E-2</v>
      </c>
      <c r="I450" s="22">
        <v>0.30299999999999999</v>
      </c>
    </row>
    <row r="451" spans="1:9" x14ac:dyDescent="0.3">
      <c r="A451" s="22">
        <v>450</v>
      </c>
      <c r="B451" s="22" t="s">
        <v>405</v>
      </c>
      <c r="C451" s="22"/>
      <c r="D451" s="22" t="s">
        <v>23</v>
      </c>
      <c r="E451" s="22" t="s">
        <v>42</v>
      </c>
      <c r="F451" s="22">
        <v>244</v>
      </c>
      <c r="G451" s="22">
        <v>245</v>
      </c>
      <c r="H451" s="22">
        <v>8.7999999999999995E-2</v>
      </c>
      <c r="I451" s="22">
        <v>0.30299999999999999</v>
      </c>
    </row>
    <row r="452" spans="1:9" x14ac:dyDescent="0.3">
      <c r="A452" s="22">
        <v>451</v>
      </c>
      <c r="B452" s="22" t="s">
        <v>406</v>
      </c>
      <c r="C452" s="22"/>
      <c r="D452" s="22" t="s">
        <v>23</v>
      </c>
      <c r="E452" s="22" t="s">
        <v>42</v>
      </c>
      <c r="F452" s="22">
        <v>245</v>
      </c>
      <c r="G452" s="22">
        <v>246</v>
      </c>
      <c r="H452" s="22">
        <v>8.7999999999999995E-2</v>
      </c>
      <c r="I452" s="22">
        <v>0.30299999999999999</v>
      </c>
    </row>
    <row r="453" spans="1:9" x14ac:dyDescent="0.3">
      <c r="A453" s="22">
        <v>452</v>
      </c>
      <c r="B453" s="22" t="s">
        <v>414</v>
      </c>
      <c r="C453" s="22"/>
      <c r="D453" s="22" t="s">
        <v>23</v>
      </c>
      <c r="E453" s="22" t="s">
        <v>42</v>
      </c>
      <c r="F453" s="22">
        <v>246</v>
      </c>
      <c r="G453" s="22">
        <v>247</v>
      </c>
      <c r="H453" s="22">
        <v>6.5000000000000002E-2</v>
      </c>
      <c r="I453" s="22">
        <v>0.61</v>
      </c>
    </row>
    <row r="454" spans="1:9" x14ac:dyDescent="0.3">
      <c r="A454" s="22">
        <v>453</v>
      </c>
      <c r="B454" s="22" t="s">
        <v>415</v>
      </c>
      <c r="C454" s="22"/>
      <c r="D454" s="22" t="s">
        <v>23</v>
      </c>
      <c r="E454" s="22" t="s">
        <v>42</v>
      </c>
      <c r="F454" s="22">
        <v>247</v>
      </c>
      <c r="G454" s="22">
        <v>248</v>
      </c>
      <c r="H454" s="22">
        <v>6.5000000000000002E-2</v>
      </c>
      <c r="I454" s="22">
        <v>0.61</v>
      </c>
    </row>
    <row r="455" spans="1:9" x14ac:dyDescent="0.3">
      <c r="A455" s="22">
        <v>454</v>
      </c>
      <c r="B455" s="22" t="s">
        <v>416</v>
      </c>
      <c r="C455" s="22"/>
      <c r="D455" s="22" t="s">
        <v>23</v>
      </c>
      <c r="E455" s="22" t="s">
        <v>42</v>
      </c>
      <c r="F455" s="22">
        <v>248</v>
      </c>
      <c r="G455" s="22">
        <v>249</v>
      </c>
      <c r="H455" s="22">
        <v>6.5000000000000002E-2</v>
      </c>
      <c r="I455" s="22">
        <v>0.61</v>
      </c>
    </row>
    <row r="456" spans="1:9" x14ac:dyDescent="0.3">
      <c r="A456" s="22">
        <v>455</v>
      </c>
      <c r="B456" s="22" t="s">
        <v>417</v>
      </c>
      <c r="C456" s="22"/>
      <c r="D456" s="22" t="s">
        <v>23</v>
      </c>
      <c r="E456" s="22" t="s">
        <v>42</v>
      </c>
      <c r="F456" s="22">
        <v>249</v>
      </c>
      <c r="G456" s="22">
        <v>250</v>
      </c>
      <c r="H456" s="22">
        <v>6.5000000000000002E-2</v>
      </c>
      <c r="I456" s="22">
        <v>0.61</v>
      </c>
    </row>
    <row r="457" spans="1:9" x14ac:dyDescent="0.3">
      <c r="A457" s="22">
        <v>456</v>
      </c>
      <c r="B457" s="22" t="s">
        <v>401</v>
      </c>
      <c r="C457" s="22"/>
      <c r="D457" s="22" t="s">
        <v>23</v>
      </c>
      <c r="E457" s="22" t="s">
        <v>42</v>
      </c>
      <c r="F457" s="22">
        <v>250</v>
      </c>
      <c r="G457" s="22">
        <v>251</v>
      </c>
      <c r="H457" s="22">
        <v>8.7999999999999995E-2</v>
      </c>
      <c r="I457" s="22">
        <v>0.30299999999999999</v>
      </c>
    </row>
    <row r="458" spans="1:9" x14ac:dyDescent="0.3">
      <c r="A458" s="22">
        <v>457</v>
      </c>
      <c r="B458" s="22" t="s">
        <v>402</v>
      </c>
      <c r="C458" s="22"/>
      <c r="D458" s="22" t="s">
        <v>23</v>
      </c>
      <c r="E458" s="22" t="s">
        <v>42</v>
      </c>
      <c r="F458" s="22">
        <v>251</v>
      </c>
      <c r="G458" s="22">
        <v>252</v>
      </c>
      <c r="H458" s="22">
        <v>8.7999999999999995E-2</v>
      </c>
      <c r="I458" s="22">
        <v>0.30299999999999999</v>
      </c>
    </row>
    <row r="459" spans="1:9" x14ac:dyDescent="0.3">
      <c r="A459" s="22">
        <v>458</v>
      </c>
      <c r="B459" s="22" t="s">
        <v>403</v>
      </c>
      <c r="C459" s="22"/>
      <c r="D459" s="22" t="s">
        <v>23</v>
      </c>
      <c r="E459" s="22" t="s">
        <v>42</v>
      </c>
      <c r="F459" s="22">
        <v>252</v>
      </c>
      <c r="G459" s="22">
        <v>144</v>
      </c>
      <c r="H459" s="22">
        <v>8.7999999999999995E-2</v>
      </c>
      <c r="I459" s="22">
        <v>0.30299999999999999</v>
      </c>
    </row>
    <row r="460" spans="1:9" x14ac:dyDescent="0.3">
      <c r="A460" s="22">
        <v>459</v>
      </c>
      <c r="B460" s="22" t="s">
        <v>404</v>
      </c>
      <c r="C460" s="22"/>
      <c r="D460" s="22" t="s">
        <v>23</v>
      </c>
      <c r="E460" s="22" t="s">
        <v>42</v>
      </c>
      <c r="F460" s="22">
        <v>45</v>
      </c>
      <c r="G460" s="22">
        <v>253</v>
      </c>
      <c r="H460" s="22">
        <v>8.7999999999999995E-2</v>
      </c>
      <c r="I460" s="22">
        <v>0.30299999999999999</v>
      </c>
    </row>
    <row r="461" spans="1:9" x14ac:dyDescent="0.3">
      <c r="A461" s="22">
        <v>460</v>
      </c>
      <c r="B461" s="22" t="s">
        <v>405</v>
      </c>
      <c r="C461" s="22"/>
      <c r="D461" s="22" t="s">
        <v>23</v>
      </c>
      <c r="E461" s="22" t="s">
        <v>42</v>
      </c>
      <c r="F461" s="22">
        <v>253</v>
      </c>
      <c r="G461" s="22">
        <v>254</v>
      </c>
      <c r="H461" s="22">
        <v>8.7999999999999995E-2</v>
      </c>
      <c r="I461" s="22">
        <v>0.30299999999999999</v>
      </c>
    </row>
    <row r="462" spans="1:9" x14ac:dyDescent="0.3">
      <c r="A462" s="22">
        <v>461</v>
      </c>
      <c r="B462" s="22" t="s">
        <v>406</v>
      </c>
      <c r="C462" s="22"/>
      <c r="D462" s="22" t="s">
        <v>23</v>
      </c>
      <c r="E462" s="22" t="s">
        <v>42</v>
      </c>
      <c r="F462" s="22">
        <v>254</v>
      </c>
      <c r="G462" s="22">
        <v>255</v>
      </c>
      <c r="H462" s="22">
        <v>8.7999999999999995E-2</v>
      </c>
      <c r="I462" s="22">
        <v>0.30299999999999999</v>
      </c>
    </row>
    <row r="463" spans="1:9" x14ac:dyDescent="0.3">
      <c r="A463" s="22">
        <v>462</v>
      </c>
      <c r="B463" s="22" t="s">
        <v>414</v>
      </c>
      <c r="C463" s="22"/>
      <c r="D463" s="22" t="s">
        <v>23</v>
      </c>
      <c r="E463" s="22" t="s">
        <v>42</v>
      </c>
      <c r="F463" s="22">
        <v>255</v>
      </c>
      <c r="G463" s="22">
        <v>256</v>
      </c>
      <c r="H463" s="22">
        <v>6.5000000000000002E-2</v>
      </c>
      <c r="I463" s="22">
        <v>0.61</v>
      </c>
    </row>
    <row r="464" spans="1:9" x14ac:dyDescent="0.3">
      <c r="A464" s="22">
        <v>463</v>
      </c>
      <c r="B464" s="22" t="s">
        <v>415</v>
      </c>
      <c r="C464" s="22"/>
      <c r="D464" s="22" t="s">
        <v>23</v>
      </c>
      <c r="E464" s="22" t="s">
        <v>42</v>
      </c>
      <c r="F464" s="22">
        <v>256</v>
      </c>
      <c r="G464" s="22">
        <v>257</v>
      </c>
      <c r="H464" s="22">
        <v>6.5000000000000002E-2</v>
      </c>
      <c r="I464" s="22">
        <v>0.61</v>
      </c>
    </row>
    <row r="465" spans="1:9" x14ac:dyDescent="0.3">
      <c r="A465" s="22">
        <v>464</v>
      </c>
      <c r="B465" s="22" t="s">
        <v>416</v>
      </c>
      <c r="C465" s="22"/>
      <c r="D465" s="22" t="s">
        <v>23</v>
      </c>
      <c r="E465" s="22" t="s">
        <v>42</v>
      </c>
      <c r="F465" s="22">
        <v>257</v>
      </c>
      <c r="G465" s="22">
        <v>258</v>
      </c>
      <c r="H465" s="22">
        <v>6.5000000000000002E-2</v>
      </c>
      <c r="I465" s="22">
        <v>0.61</v>
      </c>
    </row>
    <row r="466" spans="1:9" x14ac:dyDescent="0.3">
      <c r="A466" s="22">
        <v>465</v>
      </c>
      <c r="B466" s="22" t="s">
        <v>417</v>
      </c>
      <c r="C466" s="22"/>
      <c r="D466" s="22" t="s">
        <v>23</v>
      </c>
      <c r="E466" s="22" t="s">
        <v>42</v>
      </c>
      <c r="F466" s="22">
        <v>258</v>
      </c>
      <c r="G466" s="22">
        <v>259</v>
      </c>
      <c r="H466" s="22">
        <v>6.5000000000000002E-2</v>
      </c>
      <c r="I466" s="22">
        <v>0.61</v>
      </c>
    </row>
    <row r="467" spans="1:9" x14ac:dyDescent="0.3">
      <c r="A467" s="22">
        <v>466</v>
      </c>
      <c r="B467" s="22" t="s">
        <v>401</v>
      </c>
      <c r="C467" s="22"/>
      <c r="D467" s="22" t="s">
        <v>23</v>
      </c>
      <c r="E467" s="22" t="s">
        <v>42</v>
      </c>
      <c r="F467" s="22">
        <v>259</v>
      </c>
      <c r="G467" s="22">
        <v>260</v>
      </c>
      <c r="H467" s="22">
        <v>8.7999999999999995E-2</v>
      </c>
      <c r="I467" s="22">
        <v>0.30299999999999999</v>
      </c>
    </row>
    <row r="468" spans="1:9" x14ac:dyDescent="0.3">
      <c r="A468" s="22">
        <v>467</v>
      </c>
      <c r="B468" s="22" t="s">
        <v>402</v>
      </c>
      <c r="C468" s="22"/>
      <c r="D468" s="22" t="s">
        <v>23</v>
      </c>
      <c r="E468" s="22" t="s">
        <v>42</v>
      </c>
      <c r="F468" s="22">
        <v>260</v>
      </c>
      <c r="G468" s="22">
        <v>261</v>
      </c>
      <c r="H468" s="22">
        <v>8.7999999999999995E-2</v>
      </c>
      <c r="I468" s="22">
        <v>0.30299999999999999</v>
      </c>
    </row>
    <row r="469" spans="1:9" x14ac:dyDescent="0.3">
      <c r="A469" s="22">
        <v>468</v>
      </c>
      <c r="B469" s="22" t="s">
        <v>403</v>
      </c>
      <c r="C469" s="22"/>
      <c r="D469" s="22" t="s">
        <v>23</v>
      </c>
      <c r="E469" s="22" t="s">
        <v>42</v>
      </c>
      <c r="F469" s="22">
        <v>261</v>
      </c>
      <c r="G469" s="22">
        <v>135</v>
      </c>
      <c r="H469" s="22">
        <v>8.7999999999999995E-2</v>
      </c>
      <c r="I469" s="22">
        <v>0.30299999999999999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Noeuds</vt:lpstr>
      <vt:lpstr>Poutres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Chateauneuf</dc:creator>
  <cp:lastModifiedBy>Rafic Faddoul</cp:lastModifiedBy>
  <dcterms:created xsi:type="dcterms:W3CDTF">2024-05-20T13:15:39Z</dcterms:created>
  <dcterms:modified xsi:type="dcterms:W3CDTF">2024-05-21T07:40:01Z</dcterms:modified>
</cp:coreProperties>
</file>